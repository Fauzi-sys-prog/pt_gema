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ENING\Local Disk\Back Up\19. DATA PT. GMT PERKASA 2025\SALARY\THL\"/>
    </mc:Choice>
  </mc:AlternateContent>
  <xr:revisionPtr revIDLastSave="0" documentId="13_ncr:1_{3D4B42A6-9DEA-4DAA-AB7E-A2296E685EB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REAK (2)" sheetId="25" r:id="rId1"/>
    <sheet name="BREAK" sheetId="2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44" i="24" l="1"/>
  <c r="M193" i="24"/>
  <c r="N193" i="24" s="1"/>
  <c r="I193" i="24"/>
  <c r="K193" i="24" s="1"/>
  <c r="L154" i="24"/>
  <c r="M143" i="24"/>
  <c r="N143" i="24" s="1"/>
  <c r="M142" i="24"/>
  <c r="N142" i="24" s="1"/>
  <c r="M141" i="24"/>
  <c r="N141" i="24" s="1"/>
  <c r="M140" i="24"/>
  <c r="N140" i="24" s="1"/>
  <c r="M139" i="24"/>
  <c r="N139" i="24" s="1"/>
  <c r="M138" i="24"/>
  <c r="N138" i="24" s="1"/>
  <c r="M137" i="24"/>
  <c r="I143" i="24"/>
  <c r="K143" i="24" s="1"/>
  <c r="I142" i="24"/>
  <c r="K142" i="24" s="1"/>
  <c r="L142" i="24" s="1"/>
  <c r="I141" i="24"/>
  <c r="K141" i="24" s="1"/>
  <c r="L141" i="24" s="1"/>
  <c r="I140" i="24"/>
  <c r="K140" i="24" s="1"/>
  <c r="I139" i="24"/>
  <c r="K139" i="24" s="1"/>
  <c r="I138" i="24"/>
  <c r="K138" i="24" s="1"/>
  <c r="L138" i="24" s="1"/>
  <c r="M107" i="24"/>
  <c r="O107" i="24" s="1"/>
  <c r="I107" i="24"/>
  <c r="K107" i="24" s="1"/>
  <c r="O193" i="24" l="1"/>
  <c r="O139" i="24"/>
  <c r="O140" i="24"/>
  <c r="O141" i="24"/>
  <c r="O138" i="24"/>
  <c r="O142" i="24"/>
  <c r="O143" i="24"/>
  <c r="N107" i="24"/>
  <c r="L70" i="24"/>
  <c r="M64" i="24"/>
  <c r="N64" i="24" s="1"/>
  <c r="I64" i="24"/>
  <c r="K64" i="24" s="1"/>
  <c r="M26" i="24"/>
  <c r="N26" i="24" s="1"/>
  <c r="I26" i="24"/>
  <c r="K26" i="24" s="1"/>
  <c r="O64" i="24" l="1"/>
  <c r="O26" i="24"/>
  <c r="M192" i="24"/>
  <c r="N192" i="24" s="1"/>
  <c r="I192" i="24"/>
  <c r="K192" i="24" s="1"/>
  <c r="Q110" i="24"/>
  <c r="M105" i="24"/>
  <c r="O105" i="24" s="1"/>
  <c r="I105" i="24"/>
  <c r="K105" i="24" s="1"/>
  <c r="M62" i="24"/>
  <c r="O62" i="24" s="1"/>
  <c r="I62" i="24"/>
  <c r="K62" i="24" s="1"/>
  <c r="M61" i="24"/>
  <c r="O61" i="24" s="1"/>
  <c r="I61" i="24"/>
  <c r="K61" i="24" s="1"/>
  <c r="L68" i="24"/>
  <c r="L69" i="24" s="1"/>
  <c r="L71" i="24" s="1"/>
  <c r="M23" i="24"/>
  <c r="O23" i="24" s="1"/>
  <c r="I23" i="24"/>
  <c r="K23" i="24" s="1"/>
  <c r="M216" i="24"/>
  <c r="N216" i="24" s="1"/>
  <c r="I216" i="24"/>
  <c r="L216" i="24" s="1"/>
  <c r="L31" i="24"/>
  <c r="L32" i="24" s="1"/>
  <c r="L34" i="24" s="1"/>
  <c r="O192" i="24" l="1"/>
  <c r="N105" i="24"/>
  <c r="N61" i="24"/>
  <c r="N62" i="24"/>
  <c r="N23" i="24"/>
  <c r="O216" i="24"/>
  <c r="K216" i="24"/>
  <c r="M235" i="24"/>
  <c r="N235" i="24" s="1"/>
  <c r="I235" i="24"/>
  <c r="M234" i="24"/>
  <c r="N234" i="24" s="1"/>
  <c r="I234" i="24"/>
  <c r="L234" i="24" s="1"/>
  <c r="M233" i="24"/>
  <c r="N233" i="24" s="1"/>
  <c r="I233" i="24"/>
  <c r="M232" i="24"/>
  <c r="N232" i="24" s="1"/>
  <c r="I232" i="24"/>
  <c r="K232" i="24" s="1"/>
  <c r="M191" i="24"/>
  <c r="N191" i="24" s="1"/>
  <c r="I191" i="24"/>
  <c r="K191" i="24" s="1"/>
  <c r="I172" i="24"/>
  <c r="K172" i="24" s="1"/>
  <c r="I173" i="24"/>
  <c r="K173" i="24" s="1"/>
  <c r="I174" i="24"/>
  <c r="K174" i="24" s="1"/>
  <c r="I175" i="24"/>
  <c r="K175" i="24" s="1"/>
  <c r="I176" i="24"/>
  <c r="K176" i="24" s="1"/>
  <c r="I177" i="24"/>
  <c r="K177" i="24" s="1"/>
  <c r="I178" i="24"/>
  <c r="K178" i="24" s="1"/>
  <c r="L178" i="24" s="1"/>
  <c r="I179" i="24"/>
  <c r="K179" i="24" s="1"/>
  <c r="L179" i="24" s="1"/>
  <c r="I180" i="24"/>
  <c r="K180" i="24" s="1"/>
  <c r="L180" i="24" s="1"/>
  <c r="I181" i="24"/>
  <c r="K181" i="24" s="1"/>
  <c r="L181" i="24" s="1"/>
  <c r="I182" i="24"/>
  <c r="K182" i="24" s="1"/>
  <c r="L182" i="24" s="1"/>
  <c r="I183" i="24"/>
  <c r="K183" i="24" s="1"/>
  <c r="I184" i="24"/>
  <c r="K184" i="24" s="1"/>
  <c r="I185" i="24"/>
  <c r="K185" i="24" s="1"/>
  <c r="I186" i="24"/>
  <c r="K186" i="24" s="1"/>
  <c r="I187" i="24"/>
  <c r="K187" i="24" s="1"/>
  <c r="I188" i="24"/>
  <c r="K188" i="24" s="1"/>
  <c r="I189" i="24"/>
  <c r="K189" i="24" s="1"/>
  <c r="I190" i="24"/>
  <c r="K190" i="24" s="1"/>
  <c r="I194" i="24"/>
  <c r="K194" i="24" s="1"/>
  <c r="L194" i="24" s="1"/>
  <c r="L152" i="24"/>
  <c r="L153" i="24" s="1"/>
  <c r="M106" i="24"/>
  <c r="O106" i="24" s="1"/>
  <c r="I106" i="24"/>
  <c r="K106" i="24" s="1"/>
  <c r="M63" i="24"/>
  <c r="O63" i="24" s="1"/>
  <c r="I63" i="24"/>
  <c r="K63" i="24" s="1"/>
  <c r="M25" i="24"/>
  <c r="O25" i="24" s="1"/>
  <c r="I25" i="24"/>
  <c r="K25" i="24" s="1"/>
  <c r="I17" i="24"/>
  <c r="O235" i="24" l="1"/>
  <c r="L155" i="24"/>
  <c r="O234" i="24"/>
  <c r="O233" i="24"/>
  <c r="K235" i="24"/>
  <c r="K234" i="24"/>
  <c r="K233" i="24"/>
  <c r="L232" i="24"/>
  <c r="O232" i="24" s="1"/>
  <c r="O191" i="24"/>
  <c r="N63" i="24"/>
  <c r="N106" i="24"/>
  <c r="N25" i="24"/>
  <c r="M231" i="24"/>
  <c r="N231" i="24" s="1"/>
  <c r="I231" i="24"/>
  <c r="L231" i="24" s="1"/>
  <c r="M148" i="24"/>
  <c r="M147" i="24"/>
  <c r="M146" i="24"/>
  <c r="O146" i="24" s="1"/>
  <c r="M145" i="24"/>
  <c r="O145" i="24" s="1"/>
  <c r="M144" i="24"/>
  <c r="I148" i="24"/>
  <c r="K148" i="24" s="1"/>
  <c r="L148" i="24" s="1"/>
  <c r="I147" i="24"/>
  <c r="K147" i="24" s="1"/>
  <c r="I146" i="24"/>
  <c r="K146" i="24" s="1"/>
  <c r="I145" i="24"/>
  <c r="K145" i="24" s="1"/>
  <c r="I144" i="24"/>
  <c r="K144" i="24" s="1"/>
  <c r="M190" i="24"/>
  <c r="O190" i="24" s="1"/>
  <c r="M189" i="24"/>
  <c r="O189" i="24" s="1"/>
  <c r="M188" i="24"/>
  <c r="O188" i="24" s="1"/>
  <c r="M187" i="24"/>
  <c r="O187" i="24" s="1"/>
  <c r="M104" i="24"/>
  <c r="N104" i="24" s="1"/>
  <c r="I104" i="24"/>
  <c r="K104" i="24" s="1"/>
  <c r="M103" i="24"/>
  <c r="O103" i="24" s="1"/>
  <c r="I103" i="24"/>
  <c r="K103" i="24" s="1"/>
  <c r="M102" i="24"/>
  <c r="N102" i="24" s="1"/>
  <c r="I102" i="24"/>
  <c r="K102" i="24" s="1"/>
  <c r="M101" i="24"/>
  <c r="O101" i="24" s="1"/>
  <c r="I101" i="24"/>
  <c r="K101" i="24" s="1"/>
  <c r="M60" i="24"/>
  <c r="O60" i="24" s="1"/>
  <c r="I60" i="24"/>
  <c r="K60" i="24" s="1"/>
  <c r="M59" i="24"/>
  <c r="N59" i="24" s="1"/>
  <c r="I59" i="24"/>
  <c r="K59" i="24" s="1"/>
  <c r="M58" i="24"/>
  <c r="N58" i="24" s="1"/>
  <c r="I58" i="24"/>
  <c r="K58" i="24" s="1"/>
  <c r="M57" i="24"/>
  <c r="O57" i="24" s="1"/>
  <c r="I57" i="24"/>
  <c r="K57" i="24" s="1"/>
  <c r="T44" i="24"/>
  <c r="M22" i="24"/>
  <c r="N22" i="24" s="1"/>
  <c r="I22" i="24"/>
  <c r="K22" i="24" s="1"/>
  <c r="M21" i="24"/>
  <c r="O21" i="24" s="1"/>
  <c r="I21" i="24"/>
  <c r="K21" i="24" s="1"/>
  <c r="M20" i="24"/>
  <c r="N20" i="24" s="1"/>
  <c r="I20" i="24"/>
  <c r="K20" i="24" s="1"/>
  <c r="M238" i="24"/>
  <c r="N238" i="24" s="1"/>
  <c r="I238" i="24"/>
  <c r="L238" i="24" s="1"/>
  <c r="M237" i="24"/>
  <c r="N237" i="24" s="1"/>
  <c r="I237" i="24"/>
  <c r="M236" i="24"/>
  <c r="N236" i="24" s="1"/>
  <c r="I236" i="24"/>
  <c r="L236" i="24" s="1"/>
  <c r="K237" i="24" l="1"/>
  <c r="O237" i="24"/>
  <c r="O148" i="24"/>
  <c r="O147" i="24"/>
  <c r="O144" i="24"/>
  <c r="N144" i="24"/>
  <c r="O231" i="24"/>
  <c r="K231" i="24"/>
  <c r="N148" i="24"/>
  <c r="N147" i="24"/>
  <c r="N146" i="24"/>
  <c r="N145" i="24"/>
  <c r="N189" i="24"/>
  <c r="N190" i="24"/>
  <c r="N188" i="24"/>
  <c r="N187" i="24"/>
  <c r="O104" i="24"/>
  <c r="O22" i="24"/>
  <c r="N103" i="24"/>
  <c r="O102" i="24"/>
  <c r="N101" i="24"/>
  <c r="O58" i="24"/>
  <c r="O59" i="24"/>
  <c r="N57" i="24"/>
  <c r="N60" i="24"/>
  <c r="N21" i="24"/>
  <c r="O20" i="24"/>
  <c r="O238" i="24"/>
  <c r="O236" i="24"/>
  <c r="K238" i="24"/>
  <c r="K236" i="24"/>
  <c r="I219" i="24"/>
  <c r="L219" i="24" s="1"/>
  <c r="M68" i="25" l="1"/>
  <c r="O68" i="25" s="1"/>
  <c r="M67" i="25"/>
  <c r="O67" i="25" s="1"/>
  <c r="M66" i="25"/>
  <c r="O66" i="25" s="1"/>
  <c r="M65" i="25"/>
  <c r="M64" i="25"/>
  <c r="M63" i="25"/>
  <c r="O63" i="25" s="1"/>
  <c r="M62" i="25"/>
  <c r="O62" i="25" s="1"/>
  <c r="M61" i="25"/>
  <c r="M60" i="25"/>
  <c r="O60" i="25" s="1"/>
  <c r="M59" i="25"/>
  <c r="O59" i="25" s="1"/>
  <c r="M58" i="25"/>
  <c r="O58" i="25" s="1"/>
  <c r="M57" i="25"/>
  <c r="O57" i="25" s="1"/>
  <c r="M56" i="25"/>
  <c r="N56" i="25" s="1"/>
  <c r="M55" i="25"/>
  <c r="M54" i="25"/>
  <c r="M53" i="25"/>
  <c r="O53" i="25" s="1"/>
  <c r="M52" i="25"/>
  <c r="N52" i="25" s="1"/>
  <c r="M51" i="25"/>
  <c r="N51" i="25" s="1"/>
  <c r="M50" i="25"/>
  <c r="N50" i="25" s="1"/>
  <c r="M49" i="25"/>
  <c r="M48" i="25"/>
  <c r="N48" i="25" s="1"/>
  <c r="M47" i="25"/>
  <c r="N47" i="25" s="1"/>
  <c r="M46" i="25"/>
  <c r="N46" i="25" s="1"/>
  <c r="M45" i="25"/>
  <c r="N45" i="25" s="1"/>
  <c r="I68" i="25"/>
  <c r="K68" i="25" s="1"/>
  <c r="I67" i="25"/>
  <c r="K67" i="25" s="1"/>
  <c r="I66" i="25"/>
  <c r="K66" i="25" s="1"/>
  <c r="O65" i="25"/>
  <c r="I65" i="25"/>
  <c r="K65" i="25" s="1"/>
  <c r="O64" i="25"/>
  <c r="N64" i="25"/>
  <c r="I64" i="25"/>
  <c r="K64" i="25" s="1"/>
  <c r="I63" i="25"/>
  <c r="K63" i="25" s="1"/>
  <c r="I62" i="25"/>
  <c r="K62" i="25" s="1"/>
  <c r="O61" i="25"/>
  <c r="N61" i="25"/>
  <c r="I61" i="25"/>
  <c r="K61" i="25" s="1"/>
  <c r="I60" i="25"/>
  <c r="K60" i="25" s="1"/>
  <c r="I59" i="25"/>
  <c r="K59" i="25" s="1"/>
  <c r="I58" i="25"/>
  <c r="K58" i="25" s="1"/>
  <c r="N57" i="25"/>
  <c r="I57" i="25"/>
  <c r="K57" i="25" s="1"/>
  <c r="I56" i="25"/>
  <c r="K56" i="25" s="1"/>
  <c r="O55" i="25"/>
  <c r="I55" i="25"/>
  <c r="K55" i="25" s="1"/>
  <c r="O54" i="25"/>
  <c r="N54" i="25"/>
  <c r="I54" i="25"/>
  <c r="K54" i="25" s="1"/>
  <c r="I53" i="25"/>
  <c r="K53" i="25" s="1"/>
  <c r="I52" i="25"/>
  <c r="K52" i="25" s="1"/>
  <c r="L52" i="25" s="1"/>
  <c r="I51" i="25"/>
  <c r="K51" i="25" s="1"/>
  <c r="I50" i="25"/>
  <c r="K50" i="25" s="1"/>
  <c r="L50" i="25" s="1"/>
  <c r="O50" i="25" s="1"/>
  <c r="N49" i="25"/>
  <c r="I49" i="25"/>
  <c r="K49" i="25" s="1"/>
  <c r="L49" i="25" s="1"/>
  <c r="I48" i="25"/>
  <c r="K48" i="25" s="1"/>
  <c r="L48" i="25" s="1"/>
  <c r="I47" i="25"/>
  <c r="K47" i="25" s="1"/>
  <c r="L47" i="25" s="1"/>
  <c r="I46" i="25"/>
  <c r="K46" i="25" s="1"/>
  <c r="L46" i="25" s="1"/>
  <c r="I45" i="25"/>
  <c r="K45" i="25" s="1"/>
  <c r="L45" i="25" s="1"/>
  <c r="M44" i="25"/>
  <c r="O44" i="25" s="1"/>
  <c r="I44" i="25"/>
  <c r="K44" i="25" s="1"/>
  <c r="M43" i="25"/>
  <c r="N43" i="25" s="1"/>
  <c r="I43" i="25"/>
  <c r="K43" i="25" s="1"/>
  <c r="P39" i="25"/>
  <c r="P67" i="25" s="1"/>
  <c r="I19" i="25"/>
  <c r="K19" i="25" s="1"/>
  <c r="M19" i="25"/>
  <c r="N19" i="25" s="1"/>
  <c r="I20" i="25"/>
  <c r="K20" i="25" s="1"/>
  <c r="M20" i="25"/>
  <c r="N20" i="25" s="1"/>
  <c r="I21" i="25"/>
  <c r="K21" i="25" s="1"/>
  <c r="M21" i="25"/>
  <c r="N21" i="25"/>
  <c r="I22" i="25"/>
  <c r="K22" i="25" s="1"/>
  <c r="M22" i="25"/>
  <c r="N22" i="25" s="1"/>
  <c r="I23" i="25"/>
  <c r="K23" i="25" s="1"/>
  <c r="M23" i="25"/>
  <c r="N23" i="25" s="1"/>
  <c r="I24" i="25"/>
  <c r="K24" i="25" s="1"/>
  <c r="M24" i="25"/>
  <c r="N24" i="25" s="1"/>
  <c r="M30" i="25"/>
  <c r="O30" i="25" s="1"/>
  <c r="I30" i="25"/>
  <c r="K30" i="25" s="1"/>
  <c r="M29" i="25"/>
  <c r="O29" i="25" s="1"/>
  <c r="I29" i="25"/>
  <c r="K29" i="25" s="1"/>
  <c r="M28" i="25"/>
  <c r="I28" i="25"/>
  <c r="K28" i="25" s="1"/>
  <c r="M27" i="25"/>
  <c r="N27" i="25" s="1"/>
  <c r="I27" i="25"/>
  <c r="K27" i="25" s="1"/>
  <c r="M26" i="25"/>
  <c r="N26" i="25" s="1"/>
  <c r="I26" i="25"/>
  <c r="K26" i="25" s="1"/>
  <c r="M25" i="25"/>
  <c r="N25" i="25" s="1"/>
  <c r="I25" i="25"/>
  <c r="K25" i="25" s="1"/>
  <c r="M18" i="25"/>
  <c r="N18" i="25" s="1"/>
  <c r="I18" i="25"/>
  <c r="K18" i="25" s="1"/>
  <c r="M17" i="25"/>
  <c r="N17" i="25" s="1"/>
  <c r="I17" i="25"/>
  <c r="K17" i="25" s="1"/>
  <c r="M16" i="25"/>
  <c r="O16" i="25" s="1"/>
  <c r="I16" i="25"/>
  <c r="K16" i="25" s="1"/>
  <c r="M15" i="25"/>
  <c r="I15" i="25"/>
  <c r="K15" i="25" s="1"/>
  <c r="M14" i="25"/>
  <c r="N14" i="25" s="1"/>
  <c r="I14" i="25"/>
  <c r="K14" i="25" s="1"/>
  <c r="L14" i="25" s="1"/>
  <c r="M13" i="25"/>
  <c r="N13" i="25" s="1"/>
  <c r="I13" i="25"/>
  <c r="K13" i="25" s="1"/>
  <c r="M12" i="25"/>
  <c r="N12" i="25" s="1"/>
  <c r="I12" i="25"/>
  <c r="K12" i="25" s="1"/>
  <c r="L12" i="25" s="1"/>
  <c r="M11" i="25"/>
  <c r="N11" i="25" s="1"/>
  <c r="I11" i="25"/>
  <c r="K11" i="25" s="1"/>
  <c r="L11" i="25" s="1"/>
  <c r="M10" i="25"/>
  <c r="N10" i="25" s="1"/>
  <c r="I10" i="25"/>
  <c r="K10" i="25" s="1"/>
  <c r="L10" i="25" s="1"/>
  <c r="M9" i="25"/>
  <c r="N9" i="25" s="1"/>
  <c r="I9" i="25"/>
  <c r="K9" i="25" s="1"/>
  <c r="L9" i="25" s="1"/>
  <c r="M8" i="25"/>
  <c r="N8" i="25" s="1"/>
  <c r="I8" i="25"/>
  <c r="K8" i="25" s="1"/>
  <c r="L8" i="25" s="1"/>
  <c r="M7" i="25"/>
  <c r="N7" i="25" s="1"/>
  <c r="I7" i="25"/>
  <c r="K7" i="25" s="1"/>
  <c r="L7" i="25" s="1"/>
  <c r="M6" i="25"/>
  <c r="O6" i="25" s="1"/>
  <c r="I6" i="25"/>
  <c r="K6" i="25" s="1"/>
  <c r="M5" i="25"/>
  <c r="N5" i="25" s="1"/>
  <c r="I5" i="25"/>
  <c r="K5" i="25" s="1"/>
  <c r="S2" i="25"/>
  <c r="P1" i="25"/>
  <c r="P11" i="25" s="1"/>
  <c r="M185" i="24"/>
  <c r="N185" i="24" s="1"/>
  <c r="M186" i="24"/>
  <c r="N186" i="24" s="1"/>
  <c r="N137" i="24"/>
  <c r="M136" i="24"/>
  <c r="N136" i="24" s="1"/>
  <c r="M135" i="24"/>
  <c r="M134" i="24"/>
  <c r="I134" i="24"/>
  <c r="I135" i="24"/>
  <c r="K135" i="24" s="1"/>
  <c r="L135" i="24" s="1"/>
  <c r="I136" i="24"/>
  <c r="K136" i="24" s="1"/>
  <c r="L136" i="24" s="1"/>
  <c r="I137" i="24"/>
  <c r="K137" i="24" s="1"/>
  <c r="L137" i="24" s="1"/>
  <c r="O135" i="24" l="1"/>
  <c r="K134" i="24"/>
  <c r="O134" i="24"/>
  <c r="O186" i="24"/>
  <c r="P59" i="25"/>
  <c r="P68" i="25"/>
  <c r="P57" i="25"/>
  <c r="Q57" i="25" s="1"/>
  <c r="P63" i="25"/>
  <c r="P51" i="25"/>
  <c r="N6" i="25"/>
  <c r="P53" i="25"/>
  <c r="P61" i="25"/>
  <c r="Q61" i="25" s="1"/>
  <c r="P65" i="25"/>
  <c r="P62" i="25"/>
  <c r="P43" i="25"/>
  <c r="P49" i="25"/>
  <c r="P66" i="25"/>
  <c r="P58" i="25"/>
  <c r="P54" i="25"/>
  <c r="Q54" i="25" s="1"/>
  <c r="P45" i="25"/>
  <c r="P46" i="25"/>
  <c r="P64" i="25"/>
  <c r="Q64" i="25" s="1"/>
  <c r="P48" i="25"/>
  <c r="O8" i="25"/>
  <c r="O14" i="25"/>
  <c r="O26" i="25"/>
  <c r="P23" i="25"/>
  <c r="P52" i="25"/>
  <c r="P56" i="25"/>
  <c r="N66" i="25"/>
  <c r="Q66" i="25" s="1"/>
  <c r="O52" i="25"/>
  <c r="Q52" i="25" s="1"/>
  <c r="O49" i="25"/>
  <c r="Q49" i="25" s="1"/>
  <c r="O48" i="25"/>
  <c r="Q48" i="25" s="1"/>
  <c r="O47" i="25"/>
  <c r="O46" i="25"/>
  <c r="Q46" i="25" s="1"/>
  <c r="O45" i="25"/>
  <c r="Q45" i="25" s="1"/>
  <c r="O43" i="25"/>
  <c r="Q43" i="25" s="1"/>
  <c r="O51" i="25"/>
  <c r="N59" i="25"/>
  <c r="N68" i="25"/>
  <c r="Q68" i="25" s="1"/>
  <c r="O56" i="25"/>
  <c r="Q56" i="25" s="1"/>
  <c r="N63" i="25"/>
  <c r="Q63" i="25" s="1"/>
  <c r="N58" i="25"/>
  <c r="Q58" i="25" s="1"/>
  <c r="N53" i="25"/>
  <c r="N65" i="25"/>
  <c r="N60" i="25"/>
  <c r="N44" i="25"/>
  <c r="N55" i="25"/>
  <c r="N67" i="25"/>
  <c r="Q67" i="25" s="1"/>
  <c r="P60" i="25"/>
  <c r="N62" i="25"/>
  <c r="P44" i="25"/>
  <c r="P47" i="25"/>
  <c r="Q47" i="25" s="1"/>
  <c r="P50" i="25"/>
  <c r="P55" i="25"/>
  <c r="O13" i="25"/>
  <c r="O21" i="25"/>
  <c r="O24" i="25"/>
  <c r="P24" i="25"/>
  <c r="P25" i="25"/>
  <c r="O23" i="25"/>
  <c r="Q23" i="25" s="1"/>
  <c r="O20" i="25"/>
  <c r="O9" i="25"/>
  <c r="O19" i="25"/>
  <c r="O22" i="25"/>
  <c r="Q22" i="25" s="1"/>
  <c r="P19" i="25"/>
  <c r="P20" i="25"/>
  <c r="P21" i="25"/>
  <c r="P22" i="25"/>
  <c r="O7" i="25"/>
  <c r="P12" i="25"/>
  <c r="O10" i="25"/>
  <c r="O11" i="25"/>
  <c r="Q11" i="25" s="1"/>
  <c r="P9" i="25"/>
  <c r="P6" i="25"/>
  <c r="Q6" i="25" s="1"/>
  <c r="P10" i="25"/>
  <c r="O12" i="25"/>
  <c r="Q12" i="25" s="1"/>
  <c r="P7" i="25"/>
  <c r="O18" i="25"/>
  <c r="P13" i="25"/>
  <c r="Q13" i="25" s="1"/>
  <c r="O25" i="25"/>
  <c r="P29" i="25"/>
  <c r="O17" i="25"/>
  <c r="P26" i="25"/>
  <c r="N29" i="25"/>
  <c r="P17" i="25"/>
  <c r="P14" i="25"/>
  <c r="O27" i="25"/>
  <c r="P18" i="25"/>
  <c r="N16" i="25"/>
  <c r="P8" i="25"/>
  <c r="Q8" i="25" s="1"/>
  <c r="P27" i="25"/>
  <c r="P15" i="25"/>
  <c r="P28" i="25"/>
  <c r="P5" i="25"/>
  <c r="O28" i="25"/>
  <c r="N28" i="25"/>
  <c r="N15" i="25"/>
  <c r="O15" i="25"/>
  <c r="O5" i="25"/>
  <c r="N30" i="25"/>
  <c r="P30" i="25"/>
  <c r="P16" i="25"/>
  <c r="N134" i="24"/>
  <c r="N135" i="24"/>
  <c r="O185" i="24"/>
  <c r="O136" i="24"/>
  <c r="O137" i="24"/>
  <c r="I96" i="24"/>
  <c r="K96" i="24" s="1"/>
  <c r="L96" i="24" s="1"/>
  <c r="M96" i="24"/>
  <c r="N96" i="24" s="1"/>
  <c r="I97" i="24"/>
  <c r="K97" i="24" s="1"/>
  <c r="M97" i="24"/>
  <c r="N97" i="24" s="1"/>
  <c r="I98" i="24"/>
  <c r="K98" i="24" s="1"/>
  <c r="M98" i="24"/>
  <c r="N98" i="24" s="1"/>
  <c r="I99" i="24"/>
  <c r="K99" i="24" s="1"/>
  <c r="M99" i="24"/>
  <c r="O99" i="24" s="1"/>
  <c r="I100" i="24"/>
  <c r="K100" i="24" s="1"/>
  <c r="M100" i="24"/>
  <c r="O100" i="24" s="1"/>
  <c r="I54" i="24"/>
  <c r="K54" i="24" s="1"/>
  <c r="M54" i="24"/>
  <c r="O54" i="24" s="1"/>
  <c r="I55" i="24"/>
  <c r="K55" i="24" s="1"/>
  <c r="M55" i="24"/>
  <c r="N55" i="24" s="1"/>
  <c r="I56" i="24"/>
  <c r="K56" i="24" s="1"/>
  <c r="M56" i="24"/>
  <c r="O56" i="24" s="1"/>
  <c r="Q29" i="24"/>
  <c r="I18" i="24"/>
  <c r="K18" i="24" s="1"/>
  <c r="M18" i="24"/>
  <c r="N18" i="24" s="1"/>
  <c r="I19" i="24"/>
  <c r="K19" i="24" s="1"/>
  <c r="M19" i="24"/>
  <c r="N19" i="24" s="1"/>
  <c r="I24" i="24"/>
  <c r="K24" i="24" s="1"/>
  <c r="M24" i="24"/>
  <c r="N24" i="24" s="1"/>
  <c r="N99" i="24" l="1"/>
  <c r="N56" i="24"/>
  <c r="O55" i="24"/>
  <c r="N100" i="24"/>
  <c r="Q62" i="25"/>
  <c r="P69" i="25"/>
  <c r="Q14" i="25"/>
  <c r="Q59" i="25"/>
  <c r="Q50" i="25"/>
  <c r="Q65" i="25"/>
  <c r="Q26" i="25"/>
  <c r="Q55" i="25"/>
  <c r="Q44" i="25"/>
  <c r="Q69" i="25" s="1"/>
  <c r="Q53" i="25"/>
  <c r="Q10" i="25"/>
  <c r="Q9" i="25"/>
  <c r="N69" i="25"/>
  <c r="O69" i="25"/>
  <c r="Q51" i="25"/>
  <c r="Q60" i="25"/>
  <c r="Q21" i="25"/>
  <c r="Q19" i="25"/>
  <c r="Q20" i="25"/>
  <c r="Q24" i="25"/>
  <c r="Q18" i="25"/>
  <c r="Q7" i="25"/>
  <c r="Q17" i="25"/>
  <c r="Q16" i="25"/>
  <c r="Q28" i="25"/>
  <c r="Q25" i="25"/>
  <c r="Q29" i="25"/>
  <c r="Q27" i="25"/>
  <c r="O31" i="25"/>
  <c r="Q5" i="25"/>
  <c r="P31" i="25"/>
  <c r="Q30" i="25"/>
  <c r="Q15" i="25"/>
  <c r="N31" i="25"/>
  <c r="N54" i="24"/>
  <c r="O98" i="24"/>
  <c r="O97" i="24"/>
  <c r="O96" i="24"/>
  <c r="O24" i="24"/>
  <c r="O19" i="24"/>
  <c r="O18" i="24"/>
  <c r="L241" i="24"/>
  <c r="M239" i="24"/>
  <c r="I239" i="24"/>
  <c r="I7" i="24"/>
  <c r="K239" i="24" l="1"/>
  <c r="L239" i="24"/>
  <c r="O239" i="24" s="1"/>
  <c r="Q31" i="25"/>
  <c r="N239" i="24"/>
  <c r="L242" i="24"/>
  <c r="L243" i="24" s="1"/>
  <c r="M230" i="24"/>
  <c r="N230" i="24" s="1"/>
  <c r="I230" i="24"/>
  <c r="L230" i="24" s="1"/>
  <c r="M229" i="24"/>
  <c r="N229" i="24" s="1"/>
  <c r="I229" i="24"/>
  <c r="M228" i="24"/>
  <c r="N228" i="24" s="1"/>
  <c r="I228" i="24"/>
  <c r="M227" i="24"/>
  <c r="N227" i="24" s="1"/>
  <c r="I227" i="24"/>
  <c r="M226" i="24"/>
  <c r="N226" i="24" s="1"/>
  <c r="I226" i="24"/>
  <c r="M225" i="24"/>
  <c r="N225" i="24" s="1"/>
  <c r="I225" i="24"/>
  <c r="M224" i="24"/>
  <c r="N224" i="24" s="1"/>
  <c r="I224" i="24"/>
  <c r="M223" i="24"/>
  <c r="N223" i="24" s="1"/>
  <c r="I223" i="24"/>
  <c r="M222" i="24"/>
  <c r="N222" i="24" s="1"/>
  <c r="I222" i="24"/>
  <c r="M221" i="24"/>
  <c r="I221" i="24"/>
  <c r="M220" i="24"/>
  <c r="N220" i="24" s="1"/>
  <c r="I220" i="24"/>
  <c r="L220" i="24" s="1"/>
  <c r="M219" i="24"/>
  <c r="N219" i="24" s="1"/>
  <c r="M218" i="24"/>
  <c r="I218" i="24"/>
  <c r="L218" i="24" s="1"/>
  <c r="M217" i="24"/>
  <c r="N217" i="24" s="1"/>
  <c r="I217" i="24"/>
  <c r="M215" i="24"/>
  <c r="I215" i="24"/>
  <c r="L215" i="24" s="1"/>
  <c r="O212" i="24"/>
  <c r="P216" i="24" s="1"/>
  <c r="Q216" i="24" s="1"/>
  <c r="M194" i="24"/>
  <c r="O194" i="24" s="1"/>
  <c r="M184" i="24"/>
  <c r="O184" i="24" s="1"/>
  <c r="M183" i="24"/>
  <c r="O183" i="24" s="1"/>
  <c r="M182" i="24"/>
  <c r="N182" i="24" s="1"/>
  <c r="M181" i="24"/>
  <c r="N181" i="24" s="1"/>
  <c r="M180" i="24"/>
  <c r="N180" i="24" s="1"/>
  <c r="M179" i="24"/>
  <c r="N179" i="24" s="1"/>
  <c r="M178" i="24"/>
  <c r="N178" i="24" s="1"/>
  <c r="M177" i="24"/>
  <c r="N177" i="24" s="1"/>
  <c r="M176" i="24"/>
  <c r="N176" i="24" s="1"/>
  <c r="M175" i="24"/>
  <c r="N175" i="24" s="1"/>
  <c r="M174" i="24"/>
  <c r="N174" i="24" s="1"/>
  <c r="M173" i="24"/>
  <c r="M172" i="24"/>
  <c r="O172" i="24" s="1"/>
  <c r="O169" i="24"/>
  <c r="P193" i="24" s="1"/>
  <c r="Q193" i="24" s="1"/>
  <c r="Q153" i="24"/>
  <c r="M133" i="24"/>
  <c r="N133" i="24" s="1"/>
  <c r="I133" i="24"/>
  <c r="M132" i="24"/>
  <c r="I132" i="24"/>
  <c r="M131" i="24"/>
  <c r="I131" i="24"/>
  <c r="M130" i="24"/>
  <c r="N130" i="24" s="1"/>
  <c r="I130" i="24"/>
  <c r="M129" i="24"/>
  <c r="I129" i="24"/>
  <c r="O126" i="24"/>
  <c r="Q113" i="24"/>
  <c r="M108" i="24"/>
  <c r="O108" i="24" s="1"/>
  <c r="I108" i="24"/>
  <c r="K108" i="24" s="1"/>
  <c r="M95" i="24"/>
  <c r="I95" i="24"/>
  <c r="K95" i="24" s="1"/>
  <c r="L95" i="24" s="1"/>
  <c r="M94" i="24"/>
  <c r="I94" i="24"/>
  <c r="K94" i="24" s="1"/>
  <c r="L94" i="24" s="1"/>
  <c r="M93" i="24"/>
  <c r="I93" i="24"/>
  <c r="K93" i="24" s="1"/>
  <c r="L93" i="24" s="1"/>
  <c r="M92" i="24"/>
  <c r="I92" i="24"/>
  <c r="K92" i="24" s="1"/>
  <c r="L92" i="24" s="1"/>
  <c r="M91" i="24"/>
  <c r="N91" i="24" s="1"/>
  <c r="I91" i="24"/>
  <c r="M90" i="24"/>
  <c r="N90" i="24" s="1"/>
  <c r="I90" i="24"/>
  <c r="M89" i="24"/>
  <c r="I89" i="24"/>
  <c r="K89" i="24" s="1"/>
  <c r="M88" i="24"/>
  <c r="O88" i="24" s="1"/>
  <c r="I88" i="24"/>
  <c r="K88" i="24" s="1"/>
  <c r="M87" i="24"/>
  <c r="I87" i="24"/>
  <c r="K87" i="24" s="1"/>
  <c r="M86" i="24"/>
  <c r="N86" i="24" s="1"/>
  <c r="I86" i="24"/>
  <c r="K86" i="24" s="1"/>
  <c r="O83" i="24"/>
  <c r="P107" i="24" s="1"/>
  <c r="Q107" i="24" s="1"/>
  <c r="T82" i="24"/>
  <c r="Q69" i="24"/>
  <c r="M65" i="24"/>
  <c r="N65" i="24" s="1"/>
  <c r="I65" i="24"/>
  <c r="K65" i="24" s="1"/>
  <c r="M53" i="24"/>
  <c r="I53" i="24"/>
  <c r="K53" i="24" s="1"/>
  <c r="L53" i="24" s="1"/>
  <c r="M52" i="24"/>
  <c r="I52" i="24"/>
  <c r="K52" i="24" s="1"/>
  <c r="L52" i="24" s="1"/>
  <c r="M51" i="24"/>
  <c r="I51" i="24"/>
  <c r="K51" i="24" s="1"/>
  <c r="L51" i="24" s="1"/>
  <c r="M50" i="24"/>
  <c r="I50" i="24"/>
  <c r="K50" i="24" s="1"/>
  <c r="L50" i="24" s="1"/>
  <c r="M49" i="24"/>
  <c r="N49" i="24" s="1"/>
  <c r="I49" i="24"/>
  <c r="K49" i="24" s="1"/>
  <c r="L49" i="24" s="1"/>
  <c r="M48" i="24"/>
  <c r="O48" i="24" s="1"/>
  <c r="I48" i="24"/>
  <c r="K48" i="24" s="1"/>
  <c r="M47" i="24"/>
  <c r="N47" i="24" s="1"/>
  <c r="I47" i="24"/>
  <c r="M46" i="24"/>
  <c r="N46" i="24" s="1"/>
  <c r="I46" i="24"/>
  <c r="K46" i="24" s="1"/>
  <c r="M45" i="24"/>
  <c r="N45" i="24" s="1"/>
  <c r="I45" i="24"/>
  <c r="K45" i="24" s="1"/>
  <c r="M44" i="24"/>
  <c r="O44" i="24" s="1"/>
  <c r="I44" i="24"/>
  <c r="K44" i="24" s="1"/>
  <c r="M43" i="24"/>
  <c r="O43" i="24" s="1"/>
  <c r="I43" i="24"/>
  <c r="K43" i="24" s="1"/>
  <c r="O40" i="24"/>
  <c r="P64" i="24" s="1"/>
  <c r="Q64" i="24" s="1"/>
  <c r="Q32" i="24"/>
  <c r="M27" i="24"/>
  <c r="N27" i="24" s="1"/>
  <c r="I27" i="24"/>
  <c r="K27" i="24" s="1"/>
  <c r="M17" i="24"/>
  <c r="K17" i="24"/>
  <c r="M16" i="24"/>
  <c r="O16" i="24" s="1"/>
  <c r="I16" i="24"/>
  <c r="K16" i="24" s="1"/>
  <c r="M15" i="24"/>
  <c r="I15" i="24"/>
  <c r="K15" i="24" s="1"/>
  <c r="L15" i="24" s="1"/>
  <c r="M14" i="24"/>
  <c r="N14" i="24" s="1"/>
  <c r="I14" i="24"/>
  <c r="K14" i="24" s="1"/>
  <c r="L14" i="24" s="1"/>
  <c r="M13" i="24"/>
  <c r="N13" i="24" s="1"/>
  <c r="I13" i="24"/>
  <c r="K13" i="24" s="1"/>
  <c r="L13" i="24" s="1"/>
  <c r="M12" i="24"/>
  <c r="N12" i="24" s="1"/>
  <c r="I12" i="24"/>
  <c r="K12" i="24" s="1"/>
  <c r="L12" i="24" s="1"/>
  <c r="M11" i="24"/>
  <c r="I11" i="24"/>
  <c r="K11" i="24" s="1"/>
  <c r="L11" i="24" s="1"/>
  <c r="M10" i="24"/>
  <c r="I10" i="24"/>
  <c r="K10" i="24" s="1"/>
  <c r="M9" i="24"/>
  <c r="N9" i="24" s="1"/>
  <c r="I9" i="24"/>
  <c r="K9" i="24" s="1"/>
  <c r="M8" i="24"/>
  <c r="I8" i="24"/>
  <c r="K8" i="24" s="1"/>
  <c r="M7" i="24"/>
  <c r="N7" i="24" s="1"/>
  <c r="K7" i="24"/>
  <c r="M6" i="24"/>
  <c r="I6" i="24"/>
  <c r="K6" i="24" s="1"/>
  <c r="M5" i="24"/>
  <c r="N5" i="24" s="1"/>
  <c r="I5" i="24"/>
  <c r="K5" i="24" s="1"/>
  <c r="S2" i="24"/>
  <c r="P1" i="24"/>
  <c r="P26" i="24" s="1"/>
  <c r="Q26" i="24" s="1"/>
  <c r="P143" i="24" l="1"/>
  <c r="Q143" i="24" s="1"/>
  <c r="P144" i="24"/>
  <c r="Q144" i="24" s="1"/>
  <c r="P142" i="24"/>
  <c r="Q142" i="24" s="1"/>
  <c r="P139" i="24"/>
  <c r="Q139" i="24" s="1"/>
  <c r="P138" i="24"/>
  <c r="Q138" i="24" s="1"/>
  <c r="P141" i="24"/>
  <c r="Q141" i="24" s="1"/>
  <c r="P140" i="24"/>
  <c r="Q140" i="24" s="1"/>
  <c r="O92" i="24"/>
  <c r="O95" i="24"/>
  <c r="O94" i="24"/>
  <c r="O93" i="24"/>
  <c r="O53" i="24"/>
  <c r="O50" i="24"/>
  <c r="O51" i="24"/>
  <c r="O15" i="24"/>
  <c r="P191" i="24"/>
  <c r="Q191" i="24" s="1"/>
  <c r="P192" i="24"/>
  <c r="Q192" i="24" s="1"/>
  <c r="P106" i="24"/>
  <c r="Q106" i="24" s="1"/>
  <c r="P105" i="24"/>
  <c r="Q105" i="24" s="1"/>
  <c r="P63" i="24"/>
  <c r="Q63" i="24" s="1"/>
  <c r="P62" i="24"/>
  <c r="Q62" i="24" s="1"/>
  <c r="P61" i="24"/>
  <c r="Q61" i="24" s="1"/>
  <c r="P25" i="24"/>
  <c r="Q25" i="24" s="1"/>
  <c r="P23" i="24"/>
  <c r="Q23" i="24" s="1"/>
  <c r="P232" i="24"/>
  <c r="Q232" i="24" s="1"/>
  <c r="P234" i="24"/>
  <c r="Q234" i="24" s="1"/>
  <c r="P235" i="24"/>
  <c r="Q235" i="24" s="1"/>
  <c r="P233" i="24"/>
  <c r="Q233" i="24" s="1"/>
  <c r="P238" i="24"/>
  <c r="Q238" i="24" s="1"/>
  <c r="P231" i="24"/>
  <c r="Q231" i="24" s="1"/>
  <c r="P148" i="24"/>
  <c r="Q148" i="24" s="1"/>
  <c r="P147" i="24"/>
  <c r="Q147" i="24" s="1"/>
  <c r="P146" i="24"/>
  <c r="Q146" i="24" s="1"/>
  <c r="P145" i="24"/>
  <c r="Q145" i="24" s="1"/>
  <c r="P187" i="24"/>
  <c r="Q187" i="24" s="1"/>
  <c r="P189" i="24"/>
  <c r="Q189" i="24" s="1"/>
  <c r="P188" i="24"/>
  <c r="Q188" i="24" s="1"/>
  <c r="P190" i="24"/>
  <c r="Q190" i="24" s="1"/>
  <c r="P101" i="24"/>
  <c r="Q101" i="24" s="1"/>
  <c r="P104" i="24"/>
  <c r="Q104" i="24" s="1"/>
  <c r="P103" i="24"/>
  <c r="Q103" i="24" s="1"/>
  <c r="P102" i="24"/>
  <c r="Q102" i="24" s="1"/>
  <c r="P59" i="24"/>
  <c r="Q59" i="24" s="1"/>
  <c r="P60" i="24"/>
  <c r="Q60" i="24" s="1"/>
  <c r="P57" i="24"/>
  <c r="Q57" i="24" s="1"/>
  <c r="P58" i="24"/>
  <c r="Q58" i="24" s="1"/>
  <c r="P22" i="24"/>
  <c r="Q22" i="24" s="1"/>
  <c r="P20" i="24"/>
  <c r="Q20" i="24" s="1"/>
  <c r="P21" i="24"/>
  <c r="Q21" i="24" s="1"/>
  <c r="P236" i="24"/>
  <c r="Q236" i="24" s="1"/>
  <c r="P237" i="24"/>
  <c r="Q237" i="24" s="1"/>
  <c r="K227" i="24"/>
  <c r="L227" i="24" s="1"/>
  <c r="O227" i="24" s="1"/>
  <c r="K226" i="24"/>
  <c r="L226" i="24" s="1"/>
  <c r="O226" i="24"/>
  <c r="O6" i="24"/>
  <c r="P186" i="24"/>
  <c r="Q186" i="24" s="1"/>
  <c r="P185" i="24"/>
  <c r="Q185" i="24" s="1"/>
  <c r="P184" i="24"/>
  <c r="P137" i="24"/>
  <c r="Q137" i="24" s="1"/>
  <c r="P136" i="24"/>
  <c r="Q136" i="24" s="1"/>
  <c r="P135" i="24"/>
  <c r="Q135" i="24" s="1"/>
  <c r="P134" i="24"/>
  <c r="Q134" i="24" s="1"/>
  <c r="P100" i="24"/>
  <c r="Q100" i="24" s="1"/>
  <c r="P99" i="24"/>
  <c r="Q99" i="24" s="1"/>
  <c r="P98" i="24"/>
  <c r="Q98" i="24" s="1"/>
  <c r="P97" i="24"/>
  <c r="Q97" i="24" s="1"/>
  <c r="P96" i="24"/>
  <c r="Q96" i="24" s="1"/>
  <c r="P54" i="24"/>
  <c r="Q54" i="24" s="1"/>
  <c r="P56" i="24"/>
  <c r="Q56" i="24" s="1"/>
  <c r="P55" i="24"/>
  <c r="Q55" i="24" s="1"/>
  <c r="P24" i="24"/>
  <c r="Q24" i="24" s="1"/>
  <c r="P19" i="24"/>
  <c r="Q19" i="24" s="1"/>
  <c r="P18" i="24"/>
  <c r="Q18" i="24" s="1"/>
  <c r="O17" i="24"/>
  <c r="P219" i="24"/>
  <c r="P239" i="24"/>
  <c r="Q239" i="24" s="1"/>
  <c r="P230" i="24"/>
  <c r="K224" i="24"/>
  <c r="L224" i="24" s="1"/>
  <c r="O224" i="24" s="1"/>
  <c r="K219" i="24"/>
  <c r="O219" i="24"/>
  <c r="K223" i="24"/>
  <c r="L223" i="24" s="1"/>
  <c r="O223" i="24" s="1"/>
  <c r="K218" i="24"/>
  <c r="O218" i="24"/>
  <c r="K217" i="24"/>
  <c r="O217" i="24"/>
  <c r="O176" i="24"/>
  <c r="O220" i="24"/>
  <c r="K129" i="24"/>
  <c r="L129" i="24" s="1"/>
  <c r="O129" i="24" s="1"/>
  <c r="K131" i="24"/>
  <c r="O131" i="24"/>
  <c r="O10" i="24"/>
  <c r="P17" i="24"/>
  <c r="O11" i="24"/>
  <c r="O182" i="24"/>
  <c r="P47" i="24"/>
  <c r="K230" i="24"/>
  <c r="O230" i="24"/>
  <c r="O178" i="24"/>
  <c r="P14" i="24"/>
  <c r="K215" i="24"/>
  <c r="O215" i="24"/>
  <c r="O174" i="24"/>
  <c r="K221" i="24"/>
  <c r="O49" i="24"/>
  <c r="O46" i="24"/>
  <c r="P15" i="24"/>
  <c r="P93" i="24"/>
  <c r="O5" i="24"/>
  <c r="K130" i="24"/>
  <c r="L130" i="24" s="1"/>
  <c r="O130" i="24" s="1"/>
  <c r="O9" i="24"/>
  <c r="O90" i="24"/>
  <c r="O179" i="24"/>
  <c r="K132" i="24"/>
  <c r="O132" i="24" s="1"/>
  <c r="P91" i="24"/>
  <c r="O173" i="24"/>
  <c r="O13" i="24"/>
  <c r="N53" i="24"/>
  <c r="P108" i="24"/>
  <c r="L245" i="24"/>
  <c r="P44" i="24"/>
  <c r="P130" i="24"/>
  <c r="O175" i="24"/>
  <c r="O180" i="24"/>
  <c r="P49" i="24"/>
  <c r="O181" i="24"/>
  <c r="P215" i="24"/>
  <c r="P46" i="24"/>
  <c r="P90" i="24"/>
  <c r="N93" i="24"/>
  <c r="P176" i="24"/>
  <c r="K47" i="24"/>
  <c r="O47" i="24"/>
  <c r="N88" i="24"/>
  <c r="P222" i="24"/>
  <c r="N95" i="24"/>
  <c r="P175" i="24"/>
  <c r="P178" i="24"/>
  <c r="P228" i="24"/>
  <c r="N44" i="24"/>
  <c r="N184" i="24"/>
  <c r="N6" i="24"/>
  <c r="P45" i="24"/>
  <c r="P51" i="24"/>
  <c r="K90" i="24"/>
  <c r="P92" i="24"/>
  <c r="N131" i="24"/>
  <c r="P182" i="24"/>
  <c r="K220" i="24"/>
  <c r="P218" i="24"/>
  <c r="P86" i="24"/>
  <c r="P95" i="24"/>
  <c r="N172" i="24"/>
  <c r="P223" i="24"/>
  <c r="P221" i="24"/>
  <c r="N215" i="24"/>
  <c r="P229" i="24"/>
  <c r="P226" i="24"/>
  <c r="O12" i="24"/>
  <c r="N43" i="24"/>
  <c r="P227" i="24"/>
  <c r="P225" i="24"/>
  <c r="O45" i="24"/>
  <c r="P172" i="24"/>
  <c r="P183" i="24"/>
  <c r="O228" i="24"/>
  <c r="O8" i="24"/>
  <c r="O7" i="24"/>
  <c r="P16" i="24"/>
  <c r="P6" i="24"/>
  <c r="P12" i="24"/>
  <c r="P7" i="24"/>
  <c r="P13" i="24"/>
  <c r="P11" i="24"/>
  <c r="P9" i="24"/>
  <c r="P5" i="24"/>
  <c r="N10" i="24"/>
  <c r="O87" i="24"/>
  <c r="N87" i="24"/>
  <c r="O52" i="24"/>
  <c r="N52" i="24"/>
  <c r="N108" i="24"/>
  <c r="K133" i="24"/>
  <c r="L133" i="24" s="1"/>
  <c r="O133" i="24" s="1"/>
  <c r="N173" i="24"/>
  <c r="N221" i="24"/>
  <c r="O27" i="24"/>
  <c r="O91" i="24"/>
  <c r="K91" i="24"/>
  <c r="P131" i="24"/>
  <c r="P129" i="24"/>
  <c r="P27" i="24"/>
  <c r="N50" i="24"/>
  <c r="P52" i="24"/>
  <c r="P43" i="24"/>
  <c r="P65" i="24"/>
  <c r="P50" i="24"/>
  <c r="P48" i="24"/>
  <c r="O86" i="24"/>
  <c r="P133" i="24"/>
  <c r="K222" i="24"/>
  <c r="L222" i="24" s="1"/>
  <c r="O222" i="24" s="1"/>
  <c r="N16" i="24"/>
  <c r="N48" i="24"/>
  <c r="O89" i="24"/>
  <c r="N89" i="24"/>
  <c r="N129" i="24"/>
  <c r="P53" i="24"/>
  <c r="K225" i="24"/>
  <c r="L225" i="24" s="1"/>
  <c r="O225" i="24" s="1"/>
  <c r="O14" i="24"/>
  <c r="N51" i="24"/>
  <c r="N8" i="24"/>
  <c r="N132" i="24"/>
  <c r="N92" i="24"/>
  <c r="N94" i="24"/>
  <c r="P8" i="24"/>
  <c r="P10" i="24"/>
  <c r="T83" i="24"/>
  <c r="T84" i="24" s="1"/>
  <c r="P132" i="24"/>
  <c r="N218" i="24"/>
  <c r="K229" i="24"/>
  <c r="L229" i="24" s="1"/>
  <c r="O229" i="24"/>
  <c r="P88" i="24"/>
  <c r="P94" i="24"/>
  <c r="N11" i="24"/>
  <c r="O65" i="24"/>
  <c r="P173" i="24"/>
  <c r="P194" i="24"/>
  <c r="P174" i="24"/>
  <c r="P180" i="24"/>
  <c r="P177" i="24"/>
  <c r="K228" i="24"/>
  <c r="N15" i="24"/>
  <c r="N17" i="24"/>
  <c r="P87" i="24"/>
  <c r="P89" i="24"/>
  <c r="P179" i="24"/>
  <c r="N183" i="24"/>
  <c r="N194" i="24"/>
  <c r="P181" i="24"/>
  <c r="P217" i="24"/>
  <c r="P220" i="24"/>
  <c r="P224" i="24"/>
  <c r="L221" i="24" l="1"/>
  <c r="O221" i="24" s="1"/>
  <c r="Q219" i="24"/>
  <c r="Q220" i="24"/>
  <c r="O177" i="24"/>
  <c r="Q177" i="24" s="1"/>
  <c r="Q17" i="24"/>
  <c r="Q182" i="24"/>
  <c r="Q47" i="24"/>
  <c r="Q225" i="24"/>
  <c r="Q178" i="24"/>
  <c r="Q174" i="24"/>
  <c r="Q14" i="24"/>
  <c r="Q130" i="24"/>
  <c r="Q44" i="24"/>
  <c r="Q215" i="24"/>
  <c r="Q217" i="24"/>
  <c r="Q53" i="24"/>
  <c r="Q176" i="24"/>
  <c r="Q175" i="24"/>
  <c r="Q46" i="24"/>
  <c r="Q65" i="24"/>
  <c r="Q49" i="24"/>
  <c r="Q87" i="24"/>
  <c r="Q93" i="24"/>
  <c r="Q90" i="24"/>
  <c r="Q183" i="24"/>
  <c r="Q180" i="24"/>
  <c r="Q179" i="24"/>
  <c r="Q15" i="24"/>
  <c r="Q9" i="24"/>
  <c r="Q16" i="24"/>
  <c r="Q13" i="24"/>
  <c r="Q11" i="24"/>
  <c r="Q222" i="24"/>
  <c r="Q227" i="24"/>
  <c r="Q194" i="24"/>
  <c r="Q7" i="24"/>
  <c r="Q172" i="24"/>
  <c r="Q133" i="24"/>
  <c r="Q108" i="24"/>
  <c r="Q12" i="24"/>
  <c r="Q181" i="24"/>
  <c r="Q131" i="24"/>
  <c r="Q6" i="24"/>
  <c r="Q223" i="24"/>
  <c r="Q86" i="24"/>
  <c r="Q43" i="24"/>
  <c r="Q27" i="24"/>
  <c r="Q226" i="24"/>
  <c r="Q45" i="24"/>
  <c r="Q91" i="24"/>
  <c r="Q184" i="24"/>
  <c r="Q228" i="24"/>
  <c r="N195" i="24"/>
  <c r="Q92" i="24"/>
  <c r="Q230" i="24"/>
  <c r="Q51" i="24"/>
  <c r="Q89" i="24"/>
  <c r="Q88" i="24"/>
  <c r="O28" i="24"/>
  <c r="Q95" i="24"/>
  <c r="P195" i="24"/>
  <c r="Q224" i="24"/>
  <c r="Q229" i="24"/>
  <c r="P240" i="24"/>
  <c r="P109" i="24"/>
  <c r="O66" i="24"/>
  <c r="Q50" i="24"/>
  <c r="Q10" i="24"/>
  <c r="P66" i="24"/>
  <c r="Q173" i="24"/>
  <c r="Q129" i="24"/>
  <c r="N149" i="24"/>
  <c r="O149" i="24"/>
  <c r="P28" i="24"/>
  <c r="Q218" i="24"/>
  <c r="Q132" i="24"/>
  <c r="N109" i="24"/>
  <c r="N28" i="24"/>
  <c r="N240" i="24"/>
  <c r="Q5" i="24"/>
  <c r="Q8" i="24"/>
  <c r="Q94" i="24"/>
  <c r="Q52" i="24"/>
  <c r="N66" i="24"/>
  <c r="Q48" i="24"/>
  <c r="O109" i="24"/>
  <c r="P149" i="24"/>
  <c r="O240" i="24" l="1"/>
  <c r="Q221" i="24"/>
  <c r="Q240" i="24" s="1"/>
  <c r="Q242" i="24" s="1"/>
  <c r="Q245" i="24" s="1"/>
  <c r="Q149" i="24"/>
  <c r="Q151" i="24" s="1"/>
  <c r="Q155" i="24" s="1"/>
  <c r="O195" i="24"/>
  <c r="Q28" i="24"/>
  <c r="Q30" i="24" s="1"/>
  <c r="Q34" i="24" s="1"/>
  <c r="Q195" i="24"/>
  <c r="Q196" i="24" s="1"/>
  <c r="Q199" i="24" s="1"/>
  <c r="Q109" i="24"/>
  <c r="Q111" i="24" s="1"/>
  <c r="Q115" i="24" s="1"/>
  <c r="Q66" i="24"/>
  <c r="Q67" i="24" s="1"/>
  <c r="Q71" i="24" s="1"/>
</calcChain>
</file>

<file path=xl/sharedStrings.xml><?xml version="1.0" encoding="utf-8"?>
<sst xmlns="http://schemas.openxmlformats.org/spreadsheetml/2006/main" count="655" uniqueCount="68">
  <si>
    <t>Nama THL</t>
  </si>
  <si>
    <t>Jabatan</t>
  </si>
  <si>
    <t>U. Makan</t>
  </si>
  <si>
    <t>Tanggal</t>
  </si>
  <si>
    <t>Hari</t>
  </si>
  <si>
    <t>Ket</t>
  </si>
  <si>
    <t>Mulai</t>
  </si>
  <si>
    <t>Selesai</t>
  </si>
  <si>
    <t>Istirahat</t>
  </si>
  <si>
    <t>Total Kerja (Jam)</t>
  </si>
  <si>
    <t>Kerja (Jam)</t>
  </si>
  <si>
    <t>Lembur (Jam)</t>
  </si>
  <si>
    <t>Lembur Index (Jam)</t>
  </si>
  <si>
    <t>Upah / Jam</t>
  </si>
  <si>
    <t>Upah (Rp)</t>
  </si>
  <si>
    <t>Lembur (Rp)</t>
  </si>
  <si>
    <t>Uang Makan (Rp)</t>
  </si>
  <si>
    <t>Jumlah</t>
  </si>
  <si>
    <t>Kerja</t>
  </si>
  <si>
    <t>Total</t>
  </si>
  <si>
    <t>:</t>
  </si>
  <si>
    <t xml:space="preserve">Upah </t>
  </si>
  <si>
    <t>Selasa</t>
  </si>
  <si>
    <t>/Jam</t>
  </si>
  <si>
    <t>/Hari</t>
  </si>
  <si>
    <t>Kamis</t>
  </si>
  <si>
    <t>Jumat</t>
  </si>
  <si>
    <t>Senin</t>
  </si>
  <si>
    <t>Rabu</t>
  </si>
  <si>
    <t>: HELPER</t>
  </si>
  <si>
    <t>: NIIN</t>
  </si>
  <si>
    <t>: SARJI</t>
  </si>
  <si>
    <t>: SOLEH</t>
  </si>
  <si>
    <t>: WELDER</t>
  </si>
  <si>
    <t>ABSEN</t>
  </si>
  <si>
    <t>SALDO</t>
  </si>
  <si>
    <t>NO</t>
  </si>
  <si>
    <t>Potongan JKN</t>
  </si>
  <si>
    <t>Potongan BPJSTK</t>
  </si>
  <si>
    <t>: ABDUL ROHMAN</t>
  </si>
  <si>
    <t>: DRIVER</t>
  </si>
  <si>
    <t>Total Gaji</t>
  </si>
  <si>
    <t>: DENI</t>
  </si>
  <si>
    <t>: SKILL</t>
  </si>
  <si>
    <t>Lain - Lain</t>
  </si>
  <si>
    <t>: RIFKI MAULANA</t>
  </si>
  <si>
    <t xml:space="preserve">Kasbon </t>
  </si>
  <si>
    <t>Jumlah Kasbon</t>
  </si>
  <si>
    <t>Sisa Kasbon</t>
  </si>
  <si>
    <t>Admin 2,5%</t>
  </si>
  <si>
    <t>Total Kasbon</t>
  </si>
  <si>
    <t>TOTAL SALDO</t>
  </si>
  <si>
    <t>Kasbon</t>
  </si>
  <si>
    <t xml:space="preserve"> </t>
  </si>
  <si>
    <t>Minggu</t>
  </si>
  <si>
    <t xml:space="preserve">Gaji Jaga Gudang </t>
  </si>
  <si>
    <t>: DIRJA</t>
  </si>
  <si>
    <t>Sabtu</t>
  </si>
  <si>
    <t>215409+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</si>
  <si>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</si>
  <si>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Admin</t>
  </si>
  <si>
    <t xml:space="preserve">Potongan Kasbon </t>
  </si>
  <si>
    <t>Potongan Kasbon 2</t>
  </si>
  <si>
    <t>Kasbon 2</t>
  </si>
  <si>
    <t>Potongan Kasbon 3</t>
  </si>
  <si>
    <t>Kasbon 3</t>
  </si>
  <si>
    <t>Potongan Kasbon 11</t>
  </si>
  <si>
    <t>Kasbon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</si>
</sst>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164" formatCode="_(* #,##0_);_(* \(#,##0\);_(* &quot;-&quot;_);_(@_)"/>
    <numFmt numFmtId="165" formatCode="_(* #,##0.00_);_(* \(#,##0.00\);_(* &quot;-&quot;??_);_(@_)"/>
    <numFmt numFmtId="166" formatCode="[$-409]d\-mmm\-yyyy;@"/>
    <numFmt numFmtId="167" formatCode="_(* #,##0_);_(* \(#,##0\);_(* &quot;-&quot;??_);_(@_)"/>
    <numFmt numFmtId="168" formatCode="_(* #,##0.00_);_(* \(#,##0.00\);_(* &quot;-&quot;_);_(@_)"/>
  </numFmts>
  <fonts count="1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charset val="1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charset val="1"/>
      <scheme val="minor"/>
    </font>
    <font>
      <sz val="9"/>
      <name val="Calibri"/>
      <family val="2"/>
      <charset val="1"/>
      <scheme val="minor"/>
    </font>
    <font>
      <b/>
      <sz val="1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6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166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4" fontId="5" fillId="0" borderId="5" xfId="2" applyFont="1" applyFill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3" fontId="5" fillId="0" borderId="1" xfId="0" applyNumberFormat="1" applyFont="1" applyBorder="1" applyAlignment="1">
      <alignment horizontal="right" vertical="center"/>
    </xf>
    <xf numFmtId="3" fontId="3" fillId="0" borderId="0" xfId="0" applyNumberFormat="1" applyFont="1" applyAlignment="1">
      <alignment vertical="center"/>
    </xf>
    <xf numFmtId="166" fontId="5" fillId="0" borderId="4" xfId="0" applyNumberFormat="1" applyFont="1" applyBorder="1" applyAlignment="1">
      <alignment vertical="center"/>
    </xf>
    <xf numFmtId="1" fontId="5" fillId="0" borderId="4" xfId="0" applyNumberFormat="1" applyFont="1" applyBorder="1" applyAlignment="1">
      <alignment horizontal="left" vertical="center"/>
    </xf>
    <xf numFmtId="1" fontId="5" fillId="0" borderId="4" xfId="0" quotePrefix="1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1" fontId="5" fillId="0" borderId="4" xfId="0" applyNumberFormat="1" applyFont="1" applyBorder="1" applyAlignment="1">
      <alignment vertical="center"/>
    </xf>
    <xf numFmtId="3" fontId="5" fillId="0" borderId="4" xfId="0" applyNumberFormat="1" applyFont="1" applyBorder="1" applyAlignment="1">
      <alignment vertical="center"/>
    </xf>
    <xf numFmtId="168" fontId="5" fillId="0" borderId="4" xfId="2" applyNumberFormat="1" applyFont="1" applyFill="1" applyBorder="1" applyAlignment="1">
      <alignment vertical="center"/>
    </xf>
    <xf numFmtId="20" fontId="5" fillId="0" borderId="6" xfId="0" applyNumberFormat="1" applyFont="1" applyBorder="1" applyAlignment="1">
      <alignment horizontal="center" vertical="center"/>
    </xf>
    <xf numFmtId="164" fontId="5" fillId="0" borderId="1" xfId="2" applyFont="1" applyFill="1" applyBorder="1" applyAlignment="1">
      <alignment vertical="center"/>
    </xf>
    <xf numFmtId="166" fontId="7" fillId="0" borderId="4" xfId="0" applyNumberFormat="1" applyFont="1" applyBorder="1" applyAlignment="1">
      <alignment vertical="center"/>
    </xf>
    <xf numFmtId="1" fontId="7" fillId="0" borderId="4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20" fontId="7" fillId="0" borderId="6" xfId="0" applyNumberFormat="1" applyFont="1" applyBorder="1" applyAlignment="1">
      <alignment horizontal="center" vertical="center"/>
    </xf>
    <xf numFmtId="1" fontId="7" fillId="0" borderId="4" xfId="0" quotePrefix="1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1" fontId="7" fillId="0" borderId="4" xfId="0" applyNumberFormat="1" applyFont="1" applyBorder="1" applyAlignment="1">
      <alignment vertical="center"/>
    </xf>
    <xf numFmtId="168" fontId="7" fillId="0" borderId="4" xfId="2" applyNumberFormat="1" applyFont="1" applyFill="1" applyBorder="1" applyAlignment="1">
      <alignment vertical="center"/>
    </xf>
    <xf numFmtId="164" fontId="7" fillId="0" borderId="5" xfId="2" applyFont="1" applyFill="1" applyBorder="1" applyAlignment="1">
      <alignment horizontal="right" vertical="center"/>
    </xf>
    <xf numFmtId="3" fontId="7" fillId="0" borderId="4" xfId="0" applyNumberFormat="1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1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164" fontId="6" fillId="0" borderId="1" xfId="2" applyFont="1" applyFill="1" applyBorder="1" applyAlignment="1">
      <alignment vertical="center"/>
    </xf>
    <xf numFmtId="1" fontId="7" fillId="0" borderId="1" xfId="0" applyNumberFormat="1" applyFont="1" applyBorder="1" applyAlignment="1">
      <alignment horizontal="left" vertical="center"/>
    </xf>
    <xf numFmtId="1" fontId="7" fillId="0" borderId="1" xfId="0" quotePrefix="1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1" fontId="7" fillId="0" borderId="1" xfId="0" applyNumberFormat="1" applyFont="1" applyBorder="1" applyAlignment="1">
      <alignment vertical="center"/>
    </xf>
    <xf numFmtId="168" fontId="7" fillId="0" borderId="1" xfId="2" applyNumberFormat="1" applyFont="1" applyFill="1" applyBorder="1" applyAlignment="1">
      <alignment vertical="center"/>
    </xf>
    <xf numFmtId="164" fontId="7" fillId="0" borderId="1" xfId="2" applyFont="1" applyFill="1" applyBorder="1" applyAlignment="1">
      <alignment horizontal="right" vertical="center"/>
    </xf>
    <xf numFmtId="3" fontId="7" fillId="0" borderId="1" xfId="0" applyNumberFormat="1" applyFont="1" applyBorder="1" applyAlignment="1">
      <alignment vertical="center"/>
    </xf>
    <xf numFmtId="3" fontId="6" fillId="0" borderId="1" xfId="0" applyNumberFormat="1" applyFont="1" applyBorder="1" applyAlignment="1">
      <alignment vertical="center"/>
    </xf>
    <xf numFmtId="20" fontId="7" fillId="0" borderId="1" xfId="0" quotePrefix="1" applyNumberFormat="1" applyFont="1" applyBorder="1" applyAlignment="1">
      <alignment horizontal="center" vertical="center"/>
    </xf>
    <xf numFmtId="20" fontId="7" fillId="2" borderId="1" xfId="0" quotePrefix="1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166" fontId="8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64" fontId="7" fillId="0" borderId="1" xfId="2" applyFont="1" applyFill="1" applyBorder="1" applyAlignment="1">
      <alignment vertical="center"/>
    </xf>
    <xf numFmtId="164" fontId="7" fillId="0" borderId="1" xfId="0" applyNumberFormat="1" applyFont="1" applyBorder="1" applyAlignment="1">
      <alignment vertical="center"/>
    </xf>
    <xf numFmtId="164" fontId="9" fillId="0" borderId="0" xfId="2" applyFont="1" applyFill="1" applyBorder="1" applyAlignment="1">
      <alignment vertical="center"/>
    </xf>
    <xf numFmtId="20" fontId="5" fillId="0" borderId="1" xfId="0" applyNumberFormat="1" applyFont="1" applyBorder="1" applyAlignment="1">
      <alignment horizontal="right" vertical="center"/>
    </xf>
    <xf numFmtId="1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67" fontId="7" fillId="0" borderId="0" xfId="1" applyNumberFormat="1" applyFont="1" applyFill="1" applyBorder="1" applyAlignment="1">
      <alignment vertical="center"/>
    </xf>
    <xf numFmtId="0" fontId="7" fillId="0" borderId="0" xfId="0" quotePrefix="1" applyFont="1" applyAlignment="1">
      <alignment vertical="center"/>
    </xf>
    <xf numFmtId="3" fontId="9" fillId="0" borderId="1" xfId="0" applyNumberFormat="1" applyFont="1" applyBorder="1" applyAlignment="1">
      <alignment vertical="center"/>
    </xf>
    <xf numFmtId="164" fontId="2" fillId="0" borderId="0" xfId="0" applyNumberFormat="1" applyFont="1" applyAlignment="1">
      <alignment vertical="center"/>
    </xf>
    <xf numFmtId="164" fontId="9" fillId="0" borderId="1" xfId="0" applyNumberFormat="1" applyFont="1" applyBorder="1" applyAlignment="1">
      <alignment vertical="center"/>
    </xf>
    <xf numFmtId="3" fontId="9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164" fontId="3" fillId="0" borderId="0" xfId="2" applyFont="1" applyFill="1" applyAlignment="1">
      <alignment vertical="center"/>
    </xf>
    <xf numFmtId="164" fontId="3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164" fontId="8" fillId="0" borderId="0" xfId="0" applyNumberFormat="1" applyFont="1" applyAlignment="1">
      <alignment vertical="center"/>
    </xf>
    <xf numFmtId="164" fontId="9" fillId="0" borderId="1" xfId="2" applyFont="1" applyFill="1" applyBorder="1" applyAlignment="1">
      <alignment vertical="center"/>
    </xf>
    <xf numFmtId="166" fontId="7" fillId="0" borderId="0" xfId="0" applyNumberFormat="1" applyFont="1" applyAlignment="1">
      <alignment horizontal="center" vertical="center"/>
    </xf>
    <xf numFmtId="20" fontId="7" fillId="0" borderId="0" xfId="0" quotePrefix="1" applyNumberFormat="1" applyFont="1" applyAlignment="1">
      <alignment horizontal="center" vertical="center"/>
    </xf>
    <xf numFmtId="20" fontId="7" fillId="2" borderId="0" xfId="0" quotePrefix="1" applyNumberFormat="1" applyFont="1" applyFill="1" applyAlignment="1">
      <alignment horizontal="center" vertical="center"/>
    </xf>
    <xf numFmtId="1" fontId="7" fillId="0" borderId="0" xfId="0" quotePrefix="1" applyNumberFormat="1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1" fontId="7" fillId="0" borderId="0" xfId="0" applyNumberFormat="1" applyFont="1" applyAlignment="1">
      <alignment vertical="center"/>
    </xf>
    <xf numFmtId="168" fontId="7" fillId="0" borderId="0" xfId="2" applyNumberFormat="1" applyFont="1" applyFill="1" applyBorder="1" applyAlignment="1">
      <alignment vertical="center"/>
    </xf>
    <xf numFmtId="164" fontId="7" fillId="0" borderId="0" xfId="2" applyFont="1" applyFill="1" applyBorder="1" applyAlignment="1">
      <alignment horizontal="right" vertical="center"/>
    </xf>
    <xf numFmtId="164" fontId="7" fillId="0" borderId="0" xfId="0" applyNumberFormat="1" applyFont="1" applyAlignment="1">
      <alignment vertical="center"/>
    </xf>
    <xf numFmtId="164" fontId="9" fillId="0" borderId="0" xfId="0" applyNumberFormat="1" applyFont="1" applyAlignment="1">
      <alignment vertical="center"/>
    </xf>
    <xf numFmtId="164" fontId="5" fillId="0" borderId="1" xfId="0" applyNumberFormat="1" applyFont="1" applyBorder="1" applyAlignment="1">
      <alignment vertical="center"/>
    </xf>
    <xf numFmtId="3" fontId="6" fillId="0" borderId="0" xfId="0" applyNumberFormat="1" applyFont="1" applyAlignment="1">
      <alignment vertical="center"/>
    </xf>
    <xf numFmtId="20" fontId="7" fillId="0" borderId="7" xfId="0" applyNumberFormat="1" applyFont="1" applyBorder="1" applyAlignment="1">
      <alignment horizontal="center" vertical="center"/>
    </xf>
    <xf numFmtId="20" fontId="7" fillId="0" borderId="7" xfId="0" quotePrefix="1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vertical="center"/>
    </xf>
    <xf numFmtId="1" fontId="5" fillId="0" borderId="1" xfId="0" applyNumberFormat="1" applyFont="1" applyBorder="1" applyAlignment="1">
      <alignment horizontal="left" vertical="center"/>
    </xf>
    <xf numFmtId="20" fontId="5" fillId="0" borderId="1" xfId="0" applyNumberFormat="1" applyFont="1" applyBorder="1" applyAlignment="1">
      <alignment horizontal="left" vertical="center"/>
    </xf>
    <xf numFmtId="20" fontId="5" fillId="0" borderId="1" xfId="0" quotePrefix="1" applyNumberFormat="1" applyFont="1" applyBorder="1" applyAlignment="1">
      <alignment horizontal="center" vertical="center"/>
    </xf>
    <xf numFmtId="20" fontId="5" fillId="2" borderId="1" xfId="0" quotePrefix="1" applyNumberFormat="1" applyFont="1" applyFill="1" applyBorder="1" applyAlignment="1">
      <alignment horizontal="center" vertical="center"/>
    </xf>
    <xf numFmtId="1" fontId="5" fillId="0" borderId="1" xfId="0" quotePrefix="1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vertical="center"/>
    </xf>
    <xf numFmtId="168" fontId="5" fillId="0" borderId="1" xfId="2" applyNumberFormat="1" applyFont="1" applyFill="1" applyBorder="1" applyAlignment="1">
      <alignment vertical="center"/>
    </xf>
    <xf numFmtId="164" fontId="5" fillId="0" borderId="1" xfId="2" applyFont="1" applyFill="1" applyBorder="1" applyAlignment="1">
      <alignment horizontal="right" vertical="center"/>
    </xf>
    <xf numFmtId="3" fontId="5" fillId="0" borderId="1" xfId="0" applyNumberFormat="1" applyFont="1" applyBorder="1" applyAlignment="1">
      <alignment vertical="center"/>
    </xf>
    <xf numFmtId="166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4" fontId="10" fillId="0" borderId="1" xfId="0" applyNumberFormat="1" applyFont="1" applyBorder="1" applyAlignment="1">
      <alignment vertical="center"/>
    </xf>
    <xf numFmtId="1" fontId="5" fillId="0" borderId="0" xfId="0" applyNumberFormat="1" applyFont="1" applyAlignment="1">
      <alignment horizontal="left" vertical="center"/>
    </xf>
    <xf numFmtId="167" fontId="5" fillId="0" borderId="0" xfId="1" applyNumberFormat="1" applyFont="1" applyFill="1" applyBorder="1" applyAlignment="1">
      <alignment vertical="center"/>
    </xf>
    <xf numFmtId="0" fontId="5" fillId="0" borderId="0" xfId="0" quotePrefix="1" applyFont="1" applyAlignment="1">
      <alignment vertical="center"/>
    </xf>
    <xf numFmtId="42" fontId="4" fillId="0" borderId="0" xfId="0" applyNumberFormat="1" applyFont="1" applyAlignment="1">
      <alignment vertical="center"/>
    </xf>
    <xf numFmtId="164" fontId="9" fillId="0" borderId="0" xfId="2" applyFont="1" applyFill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vertical="center"/>
    </xf>
    <xf numFmtId="167" fontId="3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0" fontId="5" fillId="0" borderId="6" xfId="0" quotePrefix="1" applyNumberFormat="1" applyFont="1" applyBorder="1" applyAlignment="1">
      <alignment horizontal="center" vertical="center"/>
    </xf>
    <xf numFmtId="20" fontId="7" fillId="0" borderId="6" xfId="0" quotePrefix="1" applyNumberFormat="1" applyFont="1" applyBorder="1" applyAlignment="1">
      <alignment horizontal="center" vertical="center"/>
    </xf>
    <xf numFmtId="20" fontId="7" fillId="2" borderId="6" xfId="0" quotePrefix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66" fontId="12" fillId="0" borderId="4" xfId="0" applyNumberFormat="1" applyFont="1" applyBorder="1" applyAlignment="1">
      <alignment vertical="center"/>
    </xf>
    <xf numFmtId="1" fontId="12" fillId="0" borderId="4" xfId="0" applyNumberFormat="1" applyFont="1" applyBorder="1" applyAlignment="1">
      <alignment horizontal="left" vertical="center"/>
    </xf>
    <xf numFmtId="20" fontId="12" fillId="0" borderId="6" xfId="0" applyNumberFormat="1" applyFont="1" applyBorder="1" applyAlignment="1">
      <alignment horizontal="center" vertical="center"/>
    </xf>
    <xf numFmtId="20" fontId="12" fillId="0" borderId="6" xfId="0" quotePrefix="1" applyNumberFormat="1" applyFont="1" applyBorder="1" applyAlignment="1">
      <alignment horizontal="center" vertical="center"/>
    </xf>
    <xf numFmtId="20" fontId="12" fillId="2" borderId="6" xfId="0" quotePrefix="1" applyNumberFormat="1" applyFont="1" applyFill="1" applyBorder="1" applyAlignment="1">
      <alignment horizontal="center" vertical="center"/>
    </xf>
    <xf numFmtId="1" fontId="12" fillId="0" borderId="4" xfId="0" quotePrefix="1" applyNumberFormat="1" applyFont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right" vertical="center"/>
    </xf>
    <xf numFmtId="1" fontId="12" fillId="0" borderId="4" xfId="0" applyNumberFormat="1" applyFont="1" applyBorder="1" applyAlignment="1">
      <alignment vertical="center"/>
    </xf>
    <xf numFmtId="168" fontId="12" fillId="0" borderId="4" xfId="2" applyNumberFormat="1" applyFont="1" applyFill="1" applyBorder="1" applyAlignment="1">
      <alignment vertical="center"/>
    </xf>
    <xf numFmtId="164" fontId="12" fillId="0" borderId="5" xfId="2" applyFont="1" applyFill="1" applyBorder="1" applyAlignment="1">
      <alignment horizontal="right" vertical="center"/>
    </xf>
    <xf numFmtId="3" fontId="12" fillId="0" borderId="4" xfId="0" applyNumberFormat="1" applyFont="1" applyBorder="1" applyAlignment="1">
      <alignment vertical="center"/>
    </xf>
    <xf numFmtId="164" fontId="9" fillId="0" borderId="0" xfId="2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66" fontId="13" fillId="0" borderId="4" xfId="0" applyNumberFormat="1" applyFont="1" applyBorder="1" applyAlignment="1">
      <alignment vertical="center"/>
    </xf>
    <xf numFmtId="1" fontId="13" fillId="0" borderId="4" xfId="0" applyNumberFormat="1" applyFont="1" applyBorder="1" applyAlignment="1">
      <alignment horizontal="left" vertical="center"/>
    </xf>
    <xf numFmtId="20" fontId="13" fillId="0" borderId="6" xfId="0" applyNumberFormat="1" applyFont="1" applyBorder="1" applyAlignment="1">
      <alignment horizontal="center" vertical="center"/>
    </xf>
    <xf numFmtId="20" fontId="13" fillId="0" borderId="6" xfId="0" quotePrefix="1" applyNumberFormat="1" applyFont="1" applyBorder="1" applyAlignment="1">
      <alignment horizontal="center" vertical="center"/>
    </xf>
    <xf numFmtId="1" fontId="13" fillId="0" borderId="4" xfId="0" quotePrefix="1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right" vertical="center"/>
    </xf>
    <xf numFmtId="1" fontId="13" fillId="0" borderId="4" xfId="0" applyNumberFormat="1" applyFont="1" applyBorder="1" applyAlignment="1">
      <alignment vertical="center"/>
    </xf>
    <xf numFmtId="168" fontId="13" fillId="0" borderId="4" xfId="2" applyNumberFormat="1" applyFont="1" applyFill="1" applyBorder="1" applyAlignment="1">
      <alignment vertical="center"/>
    </xf>
    <xf numFmtId="164" fontId="13" fillId="0" borderId="5" xfId="2" applyFont="1" applyFill="1" applyBorder="1" applyAlignment="1">
      <alignment horizontal="right" vertical="center"/>
    </xf>
    <xf numFmtId="3" fontId="13" fillId="0" borderId="4" xfId="0" applyNumberFormat="1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166" fontId="5" fillId="0" borderId="7" xfId="0" applyNumberFormat="1" applyFont="1" applyBorder="1" applyAlignment="1">
      <alignment horizontal="center" vertical="center"/>
    </xf>
    <xf numFmtId="166" fontId="5" fillId="0" borderId="8" xfId="0" applyNumberFormat="1" applyFont="1" applyBorder="1" applyAlignment="1">
      <alignment horizontal="center" vertical="center"/>
    </xf>
    <xf numFmtId="166" fontId="5" fillId="0" borderId="9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" fontId="5" fillId="0" borderId="14" xfId="0" applyNumberFormat="1" applyFont="1" applyBorder="1" applyAlignment="1">
      <alignment horizontal="center" vertical="center"/>
    </xf>
    <xf numFmtId="42" fontId="5" fillId="0" borderId="13" xfId="1" applyNumberFormat="1" applyFont="1" applyBorder="1" applyAlignment="1">
      <alignment horizontal="center" vertical="center"/>
    </xf>
    <xf numFmtId="42" fontId="5" fillId="0" borderId="14" xfId="1" applyNumberFormat="1" applyFont="1" applyBorder="1" applyAlignment="1">
      <alignment horizontal="center" vertical="center"/>
    </xf>
    <xf numFmtId="164" fontId="5" fillId="0" borderId="8" xfId="2" applyFont="1" applyFill="1" applyBorder="1" applyAlignment="1">
      <alignment horizontal="center" vertical="center"/>
    </xf>
    <xf numFmtId="1" fontId="6" fillId="0" borderId="7" xfId="0" applyNumberFormat="1" applyFont="1" applyBorder="1" applyAlignment="1">
      <alignment horizontal="center" vertical="center"/>
    </xf>
    <xf numFmtId="1" fontId="6" fillId="0" borderId="8" xfId="0" applyNumberFormat="1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42" fontId="6" fillId="0" borderId="7" xfId="1" applyNumberFormat="1" applyFont="1" applyBorder="1" applyAlignment="1">
      <alignment horizontal="center" vertical="center"/>
    </xf>
    <xf numFmtId="42" fontId="6" fillId="0" borderId="9" xfId="1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42" fontId="5" fillId="0" borderId="7" xfId="1" applyNumberFormat="1" applyFont="1" applyBorder="1" applyAlignment="1">
      <alignment horizontal="center" vertical="center"/>
    </xf>
    <xf numFmtId="42" fontId="5" fillId="0" borderId="9" xfId="1" applyNumberFormat="1" applyFont="1" applyBorder="1" applyAlignment="1">
      <alignment horizontal="center" vertical="center"/>
    </xf>
    <xf numFmtId="3" fontId="9" fillId="0" borderId="8" xfId="0" applyNumberFormat="1" applyFont="1" applyBorder="1" applyAlignment="1">
      <alignment horizontal="center" vertical="center"/>
    </xf>
    <xf numFmtId="3" fontId="9" fillId="0" borderId="9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66" fontId="7" fillId="0" borderId="7" xfId="0" applyNumberFormat="1" applyFont="1" applyBorder="1" applyAlignment="1">
      <alignment horizontal="center" vertical="center"/>
    </xf>
    <xf numFmtId="166" fontId="7" fillId="0" borderId="8" xfId="0" applyNumberFormat="1" applyFont="1" applyBorder="1" applyAlignment="1">
      <alignment horizontal="center" vertical="center"/>
    </xf>
    <xf numFmtId="166" fontId="7" fillId="0" borderId="9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/>
    </xf>
    <xf numFmtId="1" fontId="6" fillId="0" borderId="10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42" fontId="6" fillId="0" borderId="11" xfId="1" applyNumberFormat="1" applyFont="1" applyBorder="1" applyAlignment="1">
      <alignment horizontal="center" vertical="center"/>
    </xf>
    <xf numFmtId="42" fontId="6" fillId="0" borderId="12" xfId="1" applyNumberFormat="1" applyFont="1" applyBorder="1" applyAlignment="1">
      <alignment horizontal="center" vertical="center"/>
    </xf>
    <xf numFmtId="3" fontId="7" fillId="0" borderId="7" xfId="0" applyNumberFormat="1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center" vertical="center"/>
    </xf>
    <xf numFmtId="3" fontId="7" fillId="0" borderId="9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2" fontId="9" fillId="0" borderId="2" xfId="0" applyNumberFormat="1" applyFont="1" applyBorder="1" applyAlignment="1">
      <alignment horizontal="center" vertical="center"/>
    </xf>
    <xf numFmtId="2" fontId="9" fillId="0" borderId="3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 wrapText="1"/>
    </xf>
    <xf numFmtId="3" fontId="5" fillId="0" borderId="7" xfId="0" applyNumberFormat="1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/>
    </xf>
    <xf numFmtId="164" fontId="5" fillId="0" borderId="7" xfId="2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7" fillId="0" borderId="7" xfId="2" applyFont="1" applyFill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42" fontId="6" fillId="0" borderId="2" xfId="1" applyNumberFormat="1" applyFont="1" applyBorder="1" applyAlignment="1">
      <alignment horizontal="center" vertical="center"/>
    </xf>
    <xf numFmtId="3" fontId="9" fillId="0" borderId="7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42" fontId="6" fillId="0" borderId="1" xfId="1" applyNumberFormat="1" applyFont="1" applyBorder="1" applyAlignment="1">
      <alignment horizontal="center" vertical="center"/>
    </xf>
    <xf numFmtId="1" fontId="7" fillId="0" borderId="11" xfId="0" applyNumberFormat="1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" fontId="7" fillId="0" borderId="12" xfId="0" applyNumberFormat="1" applyFont="1" applyBorder="1" applyAlignment="1">
      <alignment horizontal="center" vertical="center"/>
    </xf>
    <xf numFmtId="42" fontId="7" fillId="0" borderId="11" xfId="1" applyNumberFormat="1" applyFont="1" applyBorder="1" applyAlignment="1">
      <alignment horizontal="center" vertical="center"/>
    </xf>
    <xf numFmtId="42" fontId="7" fillId="0" borderId="12" xfId="1" applyNumberFormat="1" applyFont="1" applyBorder="1" applyAlignment="1">
      <alignment horizontal="center" vertical="center"/>
    </xf>
    <xf numFmtId="42" fontId="6" fillId="0" borderId="7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 wrapText="1"/>
    </xf>
    <xf numFmtId="1" fontId="6" fillId="0" borderId="15" xfId="0" applyNumberFormat="1" applyFont="1" applyBorder="1" applyAlignment="1">
      <alignment horizontal="center" vertical="center"/>
    </xf>
    <xf numFmtId="42" fontId="6" fillId="0" borderId="15" xfId="1" applyNumberFormat="1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42" fontId="6" fillId="0" borderId="0" xfId="1" applyNumberFormat="1" applyFont="1" applyBorder="1" applyAlignment="1">
      <alignment horizontal="center" vertical="center"/>
    </xf>
    <xf numFmtId="42" fontId="6" fillId="0" borderId="14" xfId="1" applyNumberFormat="1" applyFont="1" applyBorder="1" applyAlignment="1">
      <alignment horizontal="center" vertical="center"/>
    </xf>
    <xf numFmtId="166" fontId="9" fillId="0" borderId="2" xfId="0" applyNumberFormat="1" applyFont="1" applyBorder="1" applyAlignment="1">
      <alignment horizontal="center" vertical="center"/>
    </xf>
    <xf numFmtId="166" fontId="9" fillId="0" borderId="3" xfId="0" applyNumberFormat="1" applyFont="1" applyBorder="1" applyAlignment="1">
      <alignment horizontal="center" vertical="center"/>
    </xf>
    <xf numFmtId="1" fontId="5" fillId="0" borderId="0" xfId="0" applyNumberFormat="1" applyFont="1" applyBorder="1" applyAlignment="1">
      <alignment horizontal="center" vertical="center"/>
    </xf>
    <xf numFmtId="42" fontId="5" fillId="0" borderId="0" xfId="1" applyNumberFormat="1" applyFont="1" applyBorder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4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9" fillId="0" borderId="0" xfId="2" applyFont="1" applyFill="1" applyBorder="1" applyAlignment="1">
      <alignment horizontal="center" vertical="center"/>
    </xf>
    <xf numFmtId="164" fontId="9" fillId="0" borderId="7" xfId="2" applyFont="1" applyFill="1" applyBorder="1" applyAlignment="1">
      <alignment horizontal="center" vertical="center"/>
    </xf>
    <xf numFmtId="164" fontId="9" fillId="0" borderId="8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67" fontId="11" fillId="0" borderId="0" xfId="1" applyNumberFormat="1" applyFont="1" applyBorder="1" applyAlignment="1">
      <alignment horizontal="center" vertical="center"/>
    </xf>
    <xf numFmtId="164" fontId="7" fillId="0" borderId="9" xfId="2" applyFont="1" applyFill="1" applyBorder="1" applyAlignment="1">
      <alignment horizontal="center" vertical="center"/>
    </xf>
    <xf numFmtId="3" fontId="6" fillId="0" borderId="7" xfId="0" applyNumberFormat="1" applyFont="1" applyBorder="1" applyAlignment="1">
      <alignment horizontal="center" vertical="center"/>
    </xf>
    <xf numFmtId="3" fontId="6" fillId="0" borderId="8" xfId="0" applyNumberFormat="1" applyFont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187B2-371E-4574-8384-BBB8F20F3F42}">
  <dimension ref="A1:S69"/>
  <sheetViews>
    <sheetView workbookViewId="0">
      <pane ySplit="1620" topLeftCell="A39" activePane="bottomLeft"/>
      <selection pane="bottomLeft" activeCell="W50" sqref="W50"/>
    </sheetView>
  </sheetViews>
  <sheetFormatPr defaultColWidth="9.140625" defaultRowHeight="15" customHeight="1" x14ac:dyDescent="0.25"/>
  <cols>
    <col min="1" max="1" width="3.7109375" style="5" customWidth="1"/>
    <col min="2" max="2" width="12" style="6" customWidth="1"/>
    <col min="3" max="3" width="7.42578125" style="6" customWidth="1"/>
    <col min="4" max="4" width="6" style="2" customWidth="1"/>
    <col min="5" max="5" width="7.5703125" style="2" customWidth="1"/>
    <col min="6" max="6" width="7" style="3" customWidth="1"/>
    <col min="7" max="7" width="8.28515625" style="4" customWidth="1"/>
    <col min="8" max="8" width="8.7109375" style="7" customWidth="1"/>
    <col min="9" max="9" width="5.7109375" style="7" customWidth="1"/>
    <col min="10" max="10" width="6" style="1" customWidth="1"/>
    <col min="11" max="11" width="7.85546875" style="1" customWidth="1"/>
    <col min="12" max="12" width="8.42578125" style="8" customWidth="1"/>
    <col min="13" max="13" width="10.42578125" style="8" customWidth="1"/>
    <col min="14" max="14" width="9.5703125" style="1" customWidth="1"/>
    <col min="15" max="16" width="9.85546875" style="1" customWidth="1"/>
    <col min="17" max="17" width="12.5703125" style="1" customWidth="1"/>
    <col min="18" max="19" width="9.140625" style="5"/>
    <col min="20" max="20" width="12" style="5" bestFit="1" customWidth="1"/>
    <col min="21" max="16384" width="9.140625" style="5"/>
  </cols>
  <sheetData>
    <row r="1" spans="1:19" ht="15" customHeight="1" x14ac:dyDescent="0.25">
      <c r="A1" s="8"/>
      <c r="B1" s="109" t="s">
        <v>0</v>
      </c>
      <c r="C1" s="9" t="s">
        <v>30</v>
      </c>
      <c r="D1" s="8"/>
      <c r="E1" s="9"/>
      <c r="F1" s="8"/>
      <c r="G1" s="8"/>
      <c r="H1" s="8"/>
      <c r="I1" s="9"/>
      <c r="J1" s="8"/>
      <c r="K1" s="8"/>
      <c r="N1" s="9" t="s">
        <v>2</v>
      </c>
      <c r="O1" s="76" t="s">
        <v>20</v>
      </c>
      <c r="P1" s="110">
        <f>37000+1000</f>
        <v>38000</v>
      </c>
      <c r="Q1" s="111" t="s">
        <v>24</v>
      </c>
    </row>
    <row r="2" spans="1:19" ht="15" customHeight="1" x14ac:dyDescent="0.25">
      <c r="A2" s="8"/>
      <c r="B2" s="109" t="s">
        <v>1</v>
      </c>
      <c r="C2" s="9" t="s">
        <v>29</v>
      </c>
      <c r="D2" s="8"/>
      <c r="E2" s="9"/>
      <c r="F2" s="109"/>
      <c r="G2" s="9"/>
      <c r="H2" s="8"/>
      <c r="I2" s="9"/>
      <c r="J2" s="9"/>
      <c r="K2" s="76"/>
      <c r="L2" s="110"/>
      <c r="M2" s="111"/>
      <c r="N2" s="9" t="s">
        <v>21</v>
      </c>
      <c r="O2" s="76" t="s">
        <v>20</v>
      </c>
      <c r="P2" s="110">
        <v>20200</v>
      </c>
      <c r="Q2" s="111" t="s">
        <v>23</v>
      </c>
      <c r="S2" s="5">
        <f>35000*1.05</f>
        <v>36750</v>
      </c>
    </row>
    <row r="3" spans="1:19" s="1" customFormat="1" ht="18" customHeight="1" x14ac:dyDescent="0.25">
      <c r="A3" s="157" t="s">
        <v>36</v>
      </c>
      <c r="B3" s="162" t="s">
        <v>3</v>
      </c>
      <c r="C3" s="162" t="s">
        <v>4</v>
      </c>
      <c r="D3" s="155" t="s">
        <v>5</v>
      </c>
      <c r="E3" s="155" t="s">
        <v>34</v>
      </c>
      <c r="F3" s="157" t="s">
        <v>6</v>
      </c>
      <c r="G3" s="159" t="s">
        <v>7</v>
      </c>
      <c r="H3" s="155" t="s">
        <v>8</v>
      </c>
      <c r="I3" s="161" t="s">
        <v>9</v>
      </c>
      <c r="J3" s="151" t="s">
        <v>10</v>
      </c>
      <c r="K3" s="151" t="s">
        <v>11</v>
      </c>
      <c r="L3" s="151" t="s">
        <v>12</v>
      </c>
      <c r="M3" s="151" t="s">
        <v>13</v>
      </c>
      <c r="N3" s="151" t="s">
        <v>14</v>
      </c>
      <c r="O3" s="151" t="s">
        <v>15</v>
      </c>
      <c r="P3" s="151" t="s">
        <v>16</v>
      </c>
      <c r="Q3" s="151" t="s">
        <v>17</v>
      </c>
    </row>
    <row r="4" spans="1:19" s="1" customFormat="1" ht="18" customHeight="1" x14ac:dyDescent="0.25">
      <c r="A4" s="158"/>
      <c r="B4" s="162"/>
      <c r="C4" s="162"/>
      <c r="D4" s="156"/>
      <c r="E4" s="156"/>
      <c r="F4" s="158"/>
      <c r="G4" s="160"/>
      <c r="H4" s="156"/>
      <c r="I4" s="161"/>
      <c r="J4" s="151"/>
      <c r="K4" s="151"/>
      <c r="L4" s="151"/>
      <c r="M4" s="151"/>
      <c r="N4" s="151"/>
      <c r="O4" s="151"/>
      <c r="P4" s="151"/>
      <c r="Q4" s="151"/>
    </row>
    <row r="5" spans="1:19" s="1" customFormat="1" ht="18" customHeight="1" x14ac:dyDescent="0.25">
      <c r="A5" s="27">
        <v>1</v>
      </c>
      <c r="B5" s="14">
        <v>45778</v>
      </c>
      <c r="C5" s="14" t="s">
        <v>25</v>
      </c>
      <c r="D5" s="15" t="s">
        <v>18</v>
      </c>
      <c r="E5" s="22">
        <v>0.79166666666666663</v>
      </c>
      <c r="F5" s="120">
        <v>45778.791666666664</v>
      </c>
      <c r="G5" s="120">
        <v>45779.291666666664</v>
      </c>
      <c r="H5" s="16">
        <v>1</v>
      </c>
      <c r="I5" s="17">
        <f>((G5-F5)*24)-H5</f>
        <v>11</v>
      </c>
      <c r="J5" s="18">
        <v>11</v>
      </c>
      <c r="K5" s="19">
        <f>I5-J5</f>
        <v>0</v>
      </c>
      <c r="L5" s="21">
        <v>0</v>
      </c>
      <c r="M5" s="10">
        <f>P2</f>
        <v>20200</v>
      </c>
      <c r="N5" s="20">
        <f>J5*M5</f>
        <v>222200</v>
      </c>
      <c r="O5" s="20">
        <f>L5*M5</f>
        <v>0</v>
      </c>
      <c r="P5" s="20">
        <f>P1</f>
        <v>38000</v>
      </c>
      <c r="Q5" s="20">
        <f t="shared" ref="Q5:Q30" si="0">N5+O5+P5</f>
        <v>260200</v>
      </c>
    </row>
    <row r="6" spans="1:19" s="1" customFormat="1" ht="18" customHeight="1" x14ac:dyDescent="0.25">
      <c r="A6" s="27">
        <v>2</v>
      </c>
      <c r="B6" s="14">
        <v>45779</v>
      </c>
      <c r="C6" s="14" t="s">
        <v>26</v>
      </c>
      <c r="D6" s="15" t="s">
        <v>18</v>
      </c>
      <c r="E6" s="22">
        <v>0.79166666666666663</v>
      </c>
      <c r="F6" s="120">
        <v>45779.791666666664</v>
      </c>
      <c r="G6" s="120">
        <v>45780.291666666664</v>
      </c>
      <c r="H6" s="16">
        <v>1</v>
      </c>
      <c r="I6" s="17">
        <f t="shared" ref="I6:I30" si="1">((G6-F6)*24)-H6</f>
        <v>11</v>
      </c>
      <c r="J6" s="18">
        <v>11</v>
      </c>
      <c r="K6" s="19">
        <f t="shared" ref="K6:K30" si="2">I6-J6</f>
        <v>0</v>
      </c>
      <c r="L6" s="21">
        <v>0</v>
      </c>
      <c r="M6" s="10">
        <f>P2</f>
        <v>20200</v>
      </c>
      <c r="N6" s="20">
        <f>J6*M6</f>
        <v>222200</v>
      </c>
      <c r="O6" s="20">
        <f t="shared" ref="O6:O30" si="3">L6*M6</f>
        <v>0</v>
      </c>
      <c r="P6" s="20">
        <f>P1</f>
        <v>38000</v>
      </c>
      <c r="Q6" s="20">
        <f t="shared" si="0"/>
        <v>260200</v>
      </c>
    </row>
    <row r="7" spans="1:19" s="1" customFormat="1" ht="18" customHeight="1" x14ac:dyDescent="0.25">
      <c r="A7" s="27">
        <v>3</v>
      </c>
      <c r="B7" s="14">
        <v>45780</v>
      </c>
      <c r="C7" s="14" t="s">
        <v>57</v>
      </c>
      <c r="D7" s="15" t="s">
        <v>18</v>
      </c>
      <c r="E7" s="22">
        <v>0.79166666666666663</v>
      </c>
      <c r="F7" s="120">
        <v>45780.791666666664</v>
      </c>
      <c r="G7" s="120">
        <v>45781.291666666664</v>
      </c>
      <c r="H7" s="16">
        <v>1</v>
      </c>
      <c r="I7" s="17">
        <f t="shared" si="1"/>
        <v>11</v>
      </c>
      <c r="J7" s="18">
        <v>11</v>
      </c>
      <c r="K7" s="19">
        <f t="shared" si="2"/>
        <v>0</v>
      </c>
      <c r="L7" s="21">
        <f t="shared" ref="L7:L12" si="4">K7*2</f>
        <v>0</v>
      </c>
      <c r="M7" s="10">
        <f t="shared" ref="M7:M30" si="5">$P$2</f>
        <v>20200</v>
      </c>
      <c r="N7" s="20">
        <f>J7*M7</f>
        <v>222200</v>
      </c>
      <c r="O7" s="20">
        <f t="shared" si="3"/>
        <v>0</v>
      </c>
      <c r="P7" s="20">
        <f>P1</f>
        <v>38000</v>
      </c>
      <c r="Q7" s="20">
        <f t="shared" si="0"/>
        <v>260200</v>
      </c>
    </row>
    <row r="8" spans="1:19" s="1" customFormat="1" ht="18" customHeight="1" x14ac:dyDescent="0.25">
      <c r="A8" s="27">
        <v>4</v>
      </c>
      <c r="B8" s="14">
        <v>45781</v>
      </c>
      <c r="C8" s="14" t="s">
        <v>54</v>
      </c>
      <c r="D8" s="15" t="s">
        <v>18</v>
      </c>
      <c r="E8" s="22">
        <v>0.79166666666666663</v>
      </c>
      <c r="F8" s="120">
        <v>45781.791666666664</v>
      </c>
      <c r="G8" s="120">
        <v>45782.291666666664</v>
      </c>
      <c r="H8" s="16">
        <v>1</v>
      </c>
      <c r="I8" s="17">
        <f t="shared" si="1"/>
        <v>11</v>
      </c>
      <c r="J8" s="18">
        <v>11</v>
      </c>
      <c r="K8" s="19">
        <f t="shared" si="2"/>
        <v>0</v>
      </c>
      <c r="L8" s="21">
        <f t="shared" si="4"/>
        <v>0</v>
      </c>
      <c r="M8" s="10">
        <f t="shared" si="5"/>
        <v>20200</v>
      </c>
      <c r="N8" s="20">
        <f>J8*M8</f>
        <v>222200</v>
      </c>
      <c r="O8" s="20">
        <f t="shared" si="3"/>
        <v>0</v>
      </c>
      <c r="P8" s="20">
        <f>P1</f>
        <v>38000</v>
      </c>
      <c r="Q8" s="20">
        <f t="shared" si="0"/>
        <v>260200</v>
      </c>
    </row>
    <row r="9" spans="1:19" s="1" customFormat="1" ht="18" customHeight="1" x14ac:dyDescent="0.25">
      <c r="A9" s="27">
        <v>5</v>
      </c>
      <c r="B9" s="14">
        <v>45782</v>
      </c>
      <c r="C9" s="14" t="s">
        <v>27</v>
      </c>
      <c r="D9" s="15" t="s">
        <v>18</v>
      </c>
      <c r="E9" s="22">
        <v>0.79166666666666663</v>
      </c>
      <c r="F9" s="120">
        <v>45782.791666666664</v>
      </c>
      <c r="G9" s="120">
        <v>45783.291666666664</v>
      </c>
      <c r="H9" s="16">
        <v>1</v>
      </c>
      <c r="I9" s="17">
        <f t="shared" si="1"/>
        <v>11</v>
      </c>
      <c r="J9" s="18">
        <v>11</v>
      </c>
      <c r="K9" s="19">
        <f t="shared" si="2"/>
        <v>0</v>
      </c>
      <c r="L9" s="21">
        <f t="shared" si="4"/>
        <v>0</v>
      </c>
      <c r="M9" s="10">
        <f t="shared" si="5"/>
        <v>20200</v>
      </c>
      <c r="N9" s="20">
        <f t="shared" ref="N9:N30" si="6">J9*M9</f>
        <v>222200</v>
      </c>
      <c r="O9" s="20">
        <f t="shared" si="3"/>
        <v>0</v>
      </c>
      <c r="P9" s="20">
        <f>P1</f>
        <v>38000</v>
      </c>
      <c r="Q9" s="20">
        <f t="shared" si="0"/>
        <v>260200</v>
      </c>
    </row>
    <row r="10" spans="1:19" s="1" customFormat="1" ht="18" customHeight="1" x14ac:dyDescent="0.25">
      <c r="A10" s="27">
        <v>6</v>
      </c>
      <c r="B10" s="14">
        <v>45783</v>
      </c>
      <c r="C10" s="14" t="s">
        <v>22</v>
      </c>
      <c r="D10" s="15" t="s">
        <v>18</v>
      </c>
      <c r="E10" s="22">
        <v>0.79166666666666663</v>
      </c>
      <c r="F10" s="120">
        <v>45783.791666666664</v>
      </c>
      <c r="G10" s="120">
        <v>45784.291666666664</v>
      </c>
      <c r="H10" s="16">
        <v>1</v>
      </c>
      <c r="I10" s="17">
        <f t="shared" si="1"/>
        <v>11</v>
      </c>
      <c r="J10" s="18">
        <v>11</v>
      </c>
      <c r="K10" s="19">
        <f t="shared" si="2"/>
        <v>0</v>
      </c>
      <c r="L10" s="21">
        <f t="shared" si="4"/>
        <v>0</v>
      </c>
      <c r="M10" s="10">
        <f t="shared" si="5"/>
        <v>20200</v>
      </c>
      <c r="N10" s="20">
        <f t="shared" si="6"/>
        <v>222200</v>
      </c>
      <c r="O10" s="20">
        <f t="shared" si="3"/>
        <v>0</v>
      </c>
      <c r="P10" s="20">
        <f>P1</f>
        <v>38000</v>
      </c>
      <c r="Q10" s="20">
        <f t="shared" si="0"/>
        <v>260200</v>
      </c>
    </row>
    <row r="11" spans="1:19" s="1" customFormat="1" ht="18" customHeight="1" x14ac:dyDescent="0.25">
      <c r="A11" s="27">
        <v>7</v>
      </c>
      <c r="B11" s="14">
        <v>45784</v>
      </c>
      <c r="C11" s="14" t="s">
        <v>28</v>
      </c>
      <c r="D11" s="15" t="s">
        <v>18</v>
      </c>
      <c r="E11" s="22">
        <v>0.79166666666666663</v>
      </c>
      <c r="F11" s="120">
        <v>45784.791666666664</v>
      </c>
      <c r="G11" s="120">
        <v>45785.291666666664</v>
      </c>
      <c r="H11" s="16">
        <v>1</v>
      </c>
      <c r="I11" s="17">
        <f t="shared" si="1"/>
        <v>11</v>
      </c>
      <c r="J11" s="18">
        <v>11</v>
      </c>
      <c r="K11" s="19">
        <f t="shared" si="2"/>
        <v>0</v>
      </c>
      <c r="L11" s="21">
        <f t="shared" si="4"/>
        <v>0</v>
      </c>
      <c r="M11" s="10">
        <f t="shared" si="5"/>
        <v>20200</v>
      </c>
      <c r="N11" s="20">
        <f t="shared" si="6"/>
        <v>222200</v>
      </c>
      <c r="O11" s="20">
        <f t="shared" si="3"/>
        <v>0</v>
      </c>
      <c r="P11" s="20">
        <f>P1</f>
        <v>38000</v>
      </c>
      <c r="Q11" s="20">
        <f t="shared" si="0"/>
        <v>260200</v>
      </c>
    </row>
    <row r="12" spans="1:19" s="1" customFormat="1" ht="18" customHeight="1" x14ac:dyDescent="0.25">
      <c r="A12" s="27">
        <v>8</v>
      </c>
      <c r="B12" s="14">
        <v>45785</v>
      </c>
      <c r="C12" s="14" t="s">
        <v>25</v>
      </c>
      <c r="D12" s="15" t="s">
        <v>18</v>
      </c>
      <c r="E12" s="22">
        <v>0.79166666666666663</v>
      </c>
      <c r="F12" s="120">
        <v>45785.791666666664</v>
      </c>
      <c r="G12" s="120">
        <v>45786.291666666664</v>
      </c>
      <c r="H12" s="16">
        <v>1</v>
      </c>
      <c r="I12" s="17">
        <f t="shared" si="1"/>
        <v>11</v>
      </c>
      <c r="J12" s="18">
        <v>11</v>
      </c>
      <c r="K12" s="19">
        <f t="shared" si="2"/>
        <v>0</v>
      </c>
      <c r="L12" s="21">
        <f t="shared" si="4"/>
        <v>0</v>
      </c>
      <c r="M12" s="10">
        <f t="shared" si="5"/>
        <v>20200</v>
      </c>
      <c r="N12" s="20">
        <f t="shared" si="6"/>
        <v>222200</v>
      </c>
      <c r="O12" s="20">
        <f t="shared" si="3"/>
        <v>0</v>
      </c>
      <c r="P12" s="20">
        <f>P1</f>
        <v>38000</v>
      </c>
      <c r="Q12" s="20">
        <f t="shared" si="0"/>
        <v>260200</v>
      </c>
    </row>
    <row r="13" spans="1:19" s="1" customFormat="1" ht="18" customHeight="1" x14ac:dyDescent="0.25">
      <c r="A13" s="27">
        <v>9</v>
      </c>
      <c r="B13" s="14">
        <v>45786</v>
      </c>
      <c r="C13" s="14" t="s">
        <v>26</v>
      </c>
      <c r="D13" s="15" t="s">
        <v>18</v>
      </c>
      <c r="E13" s="22">
        <v>0.79166666666666663</v>
      </c>
      <c r="F13" s="120">
        <v>45786.791666666664</v>
      </c>
      <c r="G13" s="120">
        <v>45787.291666666664</v>
      </c>
      <c r="H13" s="16">
        <v>1</v>
      </c>
      <c r="I13" s="17">
        <f t="shared" si="1"/>
        <v>11</v>
      </c>
      <c r="J13" s="18">
        <v>11</v>
      </c>
      <c r="K13" s="19">
        <f t="shared" si="2"/>
        <v>0</v>
      </c>
      <c r="L13" s="21">
        <v>0</v>
      </c>
      <c r="M13" s="10">
        <f t="shared" si="5"/>
        <v>20200</v>
      </c>
      <c r="N13" s="20">
        <f t="shared" si="6"/>
        <v>222200</v>
      </c>
      <c r="O13" s="20">
        <f t="shared" si="3"/>
        <v>0</v>
      </c>
      <c r="P13" s="20">
        <f>P1</f>
        <v>38000</v>
      </c>
      <c r="Q13" s="20">
        <f t="shared" si="0"/>
        <v>260200</v>
      </c>
    </row>
    <row r="14" spans="1:19" s="1" customFormat="1" ht="18" customHeight="1" x14ac:dyDescent="0.25">
      <c r="A14" s="27">
        <v>10</v>
      </c>
      <c r="B14" s="14">
        <v>45787</v>
      </c>
      <c r="C14" s="14" t="s">
        <v>57</v>
      </c>
      <c r="D14" s="15" t="s">
        <v>18</v>
      </c>
      <c r="E14" s="22">
        <v>0.79166666666666663</v>
      </c>
      <c r="F14" s="120">
        <v>45787.791666666664</v>
      </c>
      <c r="G14" s="120">
        <v>45788.291666666664</v>
      </c>
      <c r="H14" s="16">
        <v>1</v>
      </c>
      <c r="I14" s="17">
        <f t="shared" si="1"/>
        <v>11</v>
      </c>
      <c r="J14" s="18">
        <v>11</v>
      </c>
      <c r="K14" s="19">
        <f t="shared" si="2"/>
        <v>0</v>
      </c>
      <c r="L14" s="21">
        <f>K14*2</f>
        <v>0</v>
      </c>
      <c r="M14" s="10">
        <f t="shared" si="5"/>
        <v>20200</v>
      </c>
      <c r="N14" s="20">
        <f t="shared" si="6"/>
        <v>222200</v>
      </c>
      <c r="O14" s="20">
        <f t="shared" si="3"/>
        <v>0</v>
      </c>
      <c r="P14" s="20">
        <f>P1</f>
        <v>38000</v>
      </c>
      <c r="Q14" s="20">
        <f t="shared" si="0"/>
        <v>260200</v>
      </c>
    </row>
    <row r="15" spans="1:19" s="1" customFormat="1" ht="18" customHeight="1" x14ac:dyDescent="0.25">
      <c r="A15" s="27">
        <v>11</v>
      </c>
      <c r="B15" s="14">
        <v>45788</v>
      </c>
      <c r="C15" s="14" t="s">
        <v>54</v>
      </c>
      <c r="D15" s="15" t="s">
        <v>18</v>
      </c>
      <c r="E15" s="22">
        <v>0.79166666666666663</v>
      </c>
      <c r="F15" s="120">
        <v>45788.791666666664</v>
      </c>
      <c r="G15" s="120">
        <v>45789.291666666664</v>
      </c>
      <c r="H15" s="16">
        <v>1</v>
      </c>
      <c r="I15" s="17">
        <f t="shared" si="1"/>
        <v>11</v>
      </c>
      <c r="J15" s="18">
        <v>11</v>
      </c>
      <c r="K15" s="19">
        <f t="shared" si="2"/>
        <v>0</v>
      </c>
      <c r="L15" s="21">
        <v>0</v>
      </c>
      <c r="M15" s="10">
        <f t="shared" si="5"/>
        <v>20200</v>
      </c>
      <c r="N15" s="20">
        <f t="shared" si="6"/>
        <v>222200</v>
      </c>
      <c r="O15" s="20">
        <f t="shared" si="3"/>
        <v>0</v>
      </c>
      <c r="P15" s="20">
        <f>P1</f>
        <v>38000</v>
      </c>
      <c r="Q15" s="20">
        <f t="shared" si="0"/>
        <v>260200</v>
      </c>
    </row>
    <row r="16" spans="1:19" s="1" customFormat="1" ht="18" customHeight="1" x14ac:dyDescent="0.25">
      <c r="A16" s="27">
        <v>12</v>
      </c>
      <c r="B16" s="14">
        <v>45789</v>
      </c>
      <c r="C16" s="14" t="s">
        <v>27</v>
      </c>
      <c r="D16" s="15" t="s">
        <v>18</v>
      </c>
      <c r="E16" s="22">
        <v>0.79166666666666663</v>
      </c>
      <c r="F16" s="120">
        <v>45789.791666666664</v>
      </c>
      <c r="G16" s="120">
        <v>45790.291666666664</v>
      </c>
      <c r="H16" s="16">
        <v>1</v>
      </c>
      <c r="I16" s="17">
        <f t="shared" si="1"/>
        <v>11</v>
      </c>
      <c r="J16" s="18">
        <v>11</v>
      </c>
      <c r="K16" s="19">
        <f t="shared" si="2"/>
        <v>0</v>
      </c>
      <c r="L16" s="21">
        <v>0</v>
      </c>
      <c r="M16" s="10">
        <f t="shared" si="5"/>
        <v>20200</v>
      </c>
      <c r="N16" s="20">
        <f t="shared" si="6"/>
        <v>222200</v>
      </c>
      <c r="O16" s="20">
        <f t="shared" si="3"/>
        <v>0</v>
      </c>
      <c r="P16" s="20">
        <f>P1</f>
        <v>38000</v>
      </c>
      <c r="Q16" s="20">
        <f t="shared" si="0"/>
        <v>260200</v>
      </c>
    </row>
    <row r="17" spans="1:18" s="1" customFormat="1" ht="18" customHeight="1" x14ac:dyDescent="0.25">
      <c r="A17" s="27">
        <v>13</v>
      </c>
      <c r="B17" s="14">
        <v>45790</v>
      </c>
      <c r="C17" s="14" t="s">
        <v>22</v>
      </c>
      <c r="D17" s="15" t="s">
        <v>18</v>
      </c>
      <c r="E17" s="22">
        <v>0.79166666666666663</v>
      </c>
      <c r="F17" s="120">
        <v>45790.791666666664</v>
      </c>
      <c r="G17" s="120">
        <v>45791.291666666664</v>
      </c>
      <c r="H17" s="16">
        <v>1</v>
      </c>
      <c r="I17" s="17">
        <f t="shared" si="1"/>
        <v>11</v>
      </c>
      <c r="J17" s="18">
        <v>11</v>
      </c>
      <c r="K17" s="19">
        <f t="shared" si="2"/>
        <v>0</v>
      </c>
      <c r="L17" s="21">
        <v>0</v>
      </c>
      <c r="M17" s="10">
        <f t="shared" si="5"/>
        <v>20200</v>
      </c>
      <c r="N17" s="20">
        <f t="shared" si="6"/>
        <v>222200</v>
      </c>
      <c r="O17" s="20">
        <f>L17*M17</f>
        <v>0</v>
      </c>
      <c r="P17" s="20">
        <f>P1</f>
        <v>38000</v>
      </c>
      <c r="Q17" s="20">
        <f t="shared" si="0"/>
        <v>260200</v>
      </c>
    </row>
    <row r="18" spans="1:18" s="1" customFormat="1" ht="18" customHeight="1" x14ac:dyDescent="0.25">
      <c r="A18" s="27">
        <v>14</v>
      </c>
      <c r="B18" s="14">
        <v>45791</v>
      </c>
      <c r="C18" s="14" t="s">
        <v>28</v>
      </c>
      <c r="D18" s="15" t="s">
        <v>18</v>
      </c>
      <c r="E18" s="22">
        <v>0.79166666666666663</v>
      </c>
      <c r="F18" s="120">
        <v>45791.791666666664</v>
      </c>
      <c r="G18" s="120">
        <v>45792.291666666664</v>
      </c>
      <c r="H18" s="16">
        <v>1</v>
      </c>
      <c r="I18" s="17">
        <f t="shared" si="1"/>
        <v>11</v>
      </c>
      <c r="J18" s="18">
        <v>11</v>
      </c>
      <c r="K18" s="19">
        <f t="shared" si="2"/>
        <v>0</v>
      </c>
      <c r="L18" s="21">
        <v>0</v>
      </c>
      <c r="M18" s="10">
        <f t="shared" si="5"/>
        <v>20200</v>
      </c>
      <c r="N18" s="20">
        <f t="shared" si="6"/>
        <v>222200</v>
      </c>
      <c r="O18" s="20">
        <f>L18*M18</f>
        <v>0</v>
      </c>
      <c r="P18" s="20">
        <f>P1</f>
        <v>38000</v>
      </c>
      <c r="Q18" s="20">
        <f t="shared" si="0"/>
        <v>260200</v>
      </c>
    </row>
    <row r="19" spans="1:18" s="1" customFormat="1" ht="18" customHeight="1" x14ac:dyDescent="0.25">
      <c r="A19" s="27">
        <v>15</v>
      </c>
      <c r="B19" s="14">
        <v>45792</v>
      </c>
      <c r="C19" s="14" t="s">
        <v>25</v>
      </c>
      <c r="D19" s="15" t="s">
        <v>18</v>
      </c>
      <c r="E19" s="22">
        <v>0.79166666666666663</v>
      </c>
      <c r="F19" s="120">
        <v>45792.791666666664</v>
      </c>
      <c r="G19" s="120">
        <v>45793.291666666664</v>
      </c>
      <c r="H19" s="16">
        <v>1</v>
      </c>
      <c r="I19" s="17">
        <f t="shared" ref="I19:I24" si="7">((G19-F19)*24)-H19</f>
        <v>11</v>
      </c>
      <c r="J19" s="18">
        <v>11</v>
      </c>
      <c r="K19" s="19">
        <f t="shared" ref="K19:K24" si="8">I19-J19</f>
        <v>0</v>
      </c>
      <c r="L19" s="21">
        <v>0</v>
      </c>
      <c r="M19" s="10">
        <f t="shared" si="5"/>
        <v>20200</v>
      </c>
      <c r="N19" s="20">
        <f t="shared" ref="N19:N24" si="9">J19*M19</f>
        <v>222200</v>
      </c>
      <c r="O19" s="20">
        <f t="shared" ref="O19:O24" si="10">L19*M19</f>
        <v>0</v>
      </c>
      <c r="P19" s="20">
        <f>P1</f>
        <v>38000</v>
      </c>
      <c r="Q19" s="20">
        <f t="shared" ref="Q19:Q24" si="11">N19+O19+P19</f>
        <v>260200</v>
      </c>
    </row>
    <row r="20" spans="1:18" s="1" customFormat="1" ht="18" customHeight="1" x14ac:dyDescent="0.25">
      <c r="A20" s="27">
        <v>16</v>
      </c>
      <c r="B20" s="14">
        <v>45793</v>
      </c>
      <c r="C20" s="14" t="s">
        <v>26</v>
      </c>
      <c r="D20" s="15" t="s">
        <v>18</v>
      </c>
      <c r="E20" s="22">
        <v>0.79166666666666663</v>
      </c>
      <c r="F20" s="120">
        <v>45793.791666666664</v>
      </c>
      <c r="G20" s="120">
        <v>45794.291666666664</v>
      </c>
      <c r="H20" s="16">
        <v>1</v>
      </c>
      <c r="I20" s="17">
        <f t="shared" si="7"/>
        <v>11</v>
      </c>
      <c r="J20" s="18">
        <v>11</v>
      </c>
      <c r="K20" s="19">
        <f t="shared" si="8"/>
        <v>0</v>
      </c>
      <c r="L20" s="21">
        <v>0</v>
      </c>
      <c r="M20" s="10">
        <f t="shared" si="5"/>
        <v>20200</v>
      </c>
      <c r="N20" s="20">
        <f t="shared" si="9"/>
        <v>222200</v>
      </c>
      <c r="O20" s="20">
        <f t="shared" si="10"/>
        <v>0</v>
      </c>
      <c r="P20" s="20">
        <f>P1</f>
        <v>38000</v>
      </c>
      <c r="Q20" s="20">
        <f t="shared" si="11"/>
        <v>260200</v>
      </c>
    </row>
    <row r="21" spans="1:18" s="1" customFormat="1" ht="18" customHeight="1" x14ac:dyDescent="0.25">
      <c r="A21" s="27">
        <v>17</v>
      </c>
      <c r="B21" s="14">
        <v>45794</v>
      </c>
      <c r="C21" s="14" t="s">
        <v>57</v>
      </c>
      <c r="D21" s="15" t="s">
        <v>18</v>
      </c>
      <c r="E21" s="22">
        <v>0.79166666666666663</v>
      </c>
      <c r="F21" s="120">
        <v>45794.791666666664</v>
      </c>
      <c r="G21" s="120">
        <v>45795.291666666664</v>
      </c>
      <c r="H21" s="16">
        <v>1</v>
      </c>
      <c r="I21" s="17">
        <f t="shared" si="7"/>
        <v>11</v>
      </c>
      <c r="J21" s="18">
        <v>11</v>
      </c>
      <c r="K21" s="19">
        <f t="shared" si="8"/>
        <v>0</v>
      </c>
      <c r="L21" s="21">
        <v>0</v>
      </c>
      <c r="M21" s="10">
        <f t="shared" si="5"/>
        <v>20200</v>
      </c>
      <c r="N21" s="20">
        <f t="shared" si="9"/>
        <v>222200</v>
      </c>
      <c r="O21" s="20">
        <f t="shared" si="10"/>
        <v>0</v>
      </c>
      <c r="P21" s="20">
        <f>P1</f>
        <v>38000</v>
      </c>
      <c r="Q21" s="20">
        <f t="shared" si="11"/>
        <v>260200</v>
      </c>
    </row>
    <row r="22" spans="1:18" s="1" customFormat="1" ht="18" customHeight="1" x14ac:dyDescent="0.25">
      <c r="A22" s="27">
        <v>18</v>
      </c>
      <c r="B22" s="14">
        <v>45795</v>
      </c>
      <c r="C22" s="14" t="s">
        <v>54</v>
      </c>
      <c r="D22" s="15" t="s">
        <v>18</v>
      </c>
      <c r="E22" s="22">
        <v>0.79166666666666663</v>
      </c>
      <c r="F22" s="120">
        <v>45795.791666666664</v>
      </c>
      <c r="G22" s="120">
        <v>45796.291666666664</v>
      </c>
      <c r="H22" s="16">
        <v>1</v>
      </c>
      <c r="I22" s="17">
        <f t="shared" si="7"/>
        <v>11</v>
      </c>
      <c r="J22" s="18">
        <v>11</v>
      </c>
      <c r="K22" s="19">
        <f t="shared" si="8"/>
        <v>0</v>
      </c>
      <c r="L22" s="21">
        <v>0</v>
      </c>
      <c r="M22" s="10">
        <f t="shared" si="5"/>
        <v>20200</v>
      </c>
      <c r="N22" s="20">
        <f t="shared" si="9"/>
        <v>222200</v>
      </c>
      <c r="O22" s="20">
        <f t="shared" si="10"/>
        <v>0</v>
      </c>
      <c r="P22" s="20">
        <f>P1</f>
        <v>38000</v>
      </c>
      <c r="Q22" s="20">
        <f t="shared" si="11"/>
        <v>260200</v>
      </c>
    </row>
    <row r="23" spans="1:18" s="1" customFormat="1" ht="18" customHeight="1" x14ac:dyDescent="0.25">
      <c r="A23" s="27">
        <v>19</v>
      </c>
      <c r="B23" s="14">
        <v>45796</v>
      </c>
      <c r="C23" s="14" t="s">
        <v>27</v>
      </c>
      <c r="D23" s="15" t="s">
        <v>18</v>
      </c>
      <c r="E23" s="22">
        <v>0.79166666666666663</v>
      </c>
      <c r="F23" s="120">
        <v>45796.791666666664</v>
      </c>
      <c r="G23" s="120">
        <v>45797.291666666664</v>
      </c>
      <c r="H23" s="16">
        <v>1</v>
      </c>
      <c r="I23" s="17">
        <f t="shared" si="7"/>
        <v>11</v>
      </c>
      <c r="J23" s="18">
        <v>11</v>
      </c>
      <c r="K23" s="19">
        <f t="shared" si="8"/>
        <v>0</v>
      </c>
      <c r="L23" s="21">
        <v>0</v>
      </c>
      <c r="M23" s="10">
        <f t="shared" si="5"/>
        <v>20200</v>
      </c>
      <c r="N23" s="20">
        <f t="shared" si="9"/>
        <v>222200</v>
      </c>
      <c r="O23" s="20">
        <f t="shared" si="10"/>
        <v>0</v>
      </c>
      <c r="P23" s="20">
        <f>P1</f>
        <v>38000</v>
      </c>
      <c r="Q23" s="20">
        <f t="shared" si="11"/>
        <v>260200</v>
      </c>
    </row>
    <row r="24" spans="1:18" s="1" customFormat="1" ht="18" customHeight="1" x14ac:dyDescent="0.25">
      <c r="A24" s="27">
        <v>20</v>
      </c>
      <c r="B24" s="14">
        <v>45797</v>
      </c>
      <c r="C24" s="14" t="s">
        <v>22</v>
      </c>
      <c r="D24" s="15" t="s">
        <v>18</v>
      </c>
      <c r="E24" s="22">
        <v>0.79166666666666663</v>
      </c>
      <c r="F24" s="120">
        <v>45797.791666666664</v>
      </c>
      <c r="G24" s="120">
        <v>45798.291666666664</v>
      </c>
      <c r="H24" s="16">
        <v>1</v>
      </c>
      <c r="I24" s="17">
        <f t="shared" si="7"/>
        <v>11</v>
      </c>
      <c r="J24" s="18">
        <v>11</v>
      </c>
      <c r="K24" s="19">
        <f t="shared" si="8"/>
        <v>0</v>
      </c>
      <c r="L24" s="21">
        <v>0</v>
      </c>
      <c r="M24" s="10">
        <f t="shared" si="5"/>
        <v>20200</v>
      </c>
      <c r="N24" s="20">
        <f t="shared" si="9"/>
        <v>222200</v>
      </c>
      <c r="O24" s="20">
        <f t="shared" si="10"/>
        <v>0</v>
      </c>
      <c r="P24" s="20">
        <f>P1</f>
        <v>38000</v>
      </c>
      <c r="Q24" s="20">
        <f t="shared" si="11"/>
        <v>260200</v>
      </c>
    </row>
    <row r="25" spans="1:18" s="1" customFormat="1" ht="18" customHeight="1" x14ac:dyDescent="0.25">
      <c r="A25" s="27">
        <v>21</v>
      </c>
      <c r="B25" s="14">
        <v>45798</v>
      </c>
      <c r="C25" s="14" t="s">
        <v>28</v>
      </c>
      <c r="D25" s="15" t="s">
        <v>18</v>
      </c>
      <c r="E25" s="22">
        <v>0.79166666666666663</v>
      </c>
      <c r="F25" s="120">
        <v>45798.791666666664</v>
      </c>
      <c r="G25" s="120">
        <v>45799.291666666664</v>
      </c>
      <c r="H25" s="16">
        <v>1</v>
      </c>
      <c r="I25" s="17">
        <f t="shared" si="1"/>
        <v>11</v>
      </c>
      <c r="J25" s="18">
        <v>11</v>
      </c>
      <c r="K25" s="19">
        <f t="shared" si="2"/>
        <v>0</v>
      </c>
      <c r="L25" s="21">
        <v>0</v>
      </c>
      <c r="M25" s="10">
        <f t="shared" si="5"/>
        <v>20200</v>
      </c>
      <c r="N25" s="20">
        <f t="shared" si="6"/>
        <v>222200</v>
      </c>
      <c r="O25" s="20">
        <f>L25*M25</f>
        <v>0</v>
      </c>
      <c r="P25" s="20">
        <f>P1</f>
        <v>38000</v>
      </c>
      <c r="Q25" s="20">
        <f t="shared" si="0"/>
        <v>260200</v>
      </c>
    </row>
    <row r="26" spans="1:18" s="1" customFormat="1" ht="18" customHeight="1" x14ac:dyDescent="0.25">
      <c r="A26" s="27">
        <v>22</v>
      </c>
      <c r="B26" s="14">
        <v>45799</v>
      </c>
      <c r="C26" s="14" t="s">
        <v>25</v>
      </c>
      <c r="D26" s="15" t="s">
        <v>18</v>
      </c>
      <c r="E26" s="22">
        <v>0.79166666666666663</v>
      </c>
      <c r="F26" s="120">
        <v>45799.791666666664</v>
      </c>
      <c r="G26" s="120">
        <v>45800.291666666664</v>
      </c>
      <c r="H26" s="16">
        <v>1</v>
      </c>
      <c r="I26" s="17">
        <f t="shared" si="1"/>
        <v>11</v>
      </c>
      <c r="J26" s="18">
        <v>11</v>
      </c>
      <c r="K26" s="19">
        <f t="shared" si="2"/>
        <v>0</v>
      </c>
      <c r="L26" s="21">
        <v>0</v>
      </c>
      <c r="M26" s="10">
        <f t="shared" si="5"/>
        <v>20200</v>
      </c>
      <c r="N26" s="20">
        <f t="shared" si="6"/>
        <v>222200</v>
      </c>
      <c r="O26" s="20">
        <f>L26*M26</f>
        <v>0</v>
      </c>
      <c r="P26" s="20">
        <f>P1</f>
        <v>38000</v>
      </c>
      <c r="Q26" s="20">
        <f t="shared" si="0"/>
        <v>260200</v>
      </c>
    </row>
    <row r="27" spans="1:18" s="1" customFormat="1" ht="18" customHeight="1" x14ac:dyDescent="0.25">
      <c r="A27" s="27">
        <v>23</v>
      </c>
      <c r="B27" s="14">
        <v>45800</v>
      </c>
      <c r="C27" s="14" t="s">
        <v>26</v>
      </c>
      <c r="D27" s="15" t="s">
        <v>18</v>
      </c>
      <c r="E27" s="22">
        <v>0.79166666666666663</v>
      </c>
      <c r="F27" s="120">
        <v>45800.791666666664</v>
      </c>
      <c r="G27" s="120">
        <v>45801.291666666664</v>
      </c>
      <c r="H27" s="16">
        <v>1</v>
      </c>
      <c r="I27" s="17">
        <f t="shared" si="1"/>
        <v>11</v>
      </c>
      <c r="J27" s="18">
        <v>11</v>
      </c>
      <c r="K27" s="19">
        <f t="shared" si="2"/>
        <v>0</v>
      </c>
      <c r="L27" s="21">
        <v>0</v>
      </c>
      <c r="M27" s="10">
        <f t="shared" si="5"/>
        <v>20200</v>
      </c>
      <c r="N27" s="20">
        <f t="shared" si="6"/>
        <v>222200</v>
      </c>
      <c r="O27" s="20">
        <f t="shared" si="3"/>
        <v>0</v>
      </c>
      <c r="P27" s="20">
        <f>P1</f>
        <v>38000</v>
      </c>
      <c r="Q27" s="20">
        <f t="shared" si="0"/>
        <v>260200</v>
      </c>
    </row>
    <row r="28" spans="1:18" s="1" customFormat="1" ht="18" customHeight="1" x14ac:dyDescent="0.25">
      <c r="A28" s="27">
        <v>24</v>
      </c>
      <c r="B28" s="14">
        <v>45801</v>
      </c>
      <c r="C28" s="14" t="s">
        <v>57</v>
      </c>
      <c r="D28" s="15" t="s">
        <v>18</v>
      </c>
      <c r="E28" s="22">
        <v>0.79166666666666663</v>
      </c>
      <c r="F28" s="120">
        <v>45801.791666666664</v>
      </c>
      <c r="G28" s="120">
        <v>45802.291666666664</v>
      </c>
      <c r="H28" s="16">
        <v>1</v>
      </c>
      <c r="I28" s="17">
        <f t="shared" si="1"/>
        <v>11</v>
      </c>
      <c r="J28" s="18">
        <v>11</v>
      </c>
      <c r="K28" s="19">
        <f t="shared" si="2"/>
        <v>0</v>
      </c>
      <c r="L28" s="21">
        <v>0</v>
      </c>
      <c r="M28" s="10">
        <f t="shared" si="5"/>
        <v>20200</v>
      </c>
      <c r="N28" s="20">
        <f t="shared" si="6"/>
        <v>222200</v>
      </c>
      <c r="O28" s="20">
        <f t="shared" si="3"/>
        <v>0</v>
      </c>
      <c r="P28" s="20">
        <f>P1</f>
        <v>38000</v>
      </c>
      <c r="Q28" s="20">
        <f t="shared" si="0"/>
        <v>260200</v>
      </c>
    </row>
    <row r="29" spans="1:18" s="1" customFormat="1" ht="18" customHeight="1" x14ac:dyDescent="0.25">
      <c r="A29" s="27">
        <v>25</v>
      </c>
      <c r="B29" s="14">
        <v>45802</v>
      </c>
      <c r="C29" s="14" t="s">
        <v>54</v>
      </c>
      <c r="D29" s="15" t="s">
        <v>18</v>
      </c>
      <c r="E29" s="22">
        <v>0.79166666666666663</v>
      </c>
      <c r="F29" s="120">
        <v>45802.791666666664</v>
      </c>
      <c r="G29" s="120">
        <v>45803.291666666664</v>
      </c>
      <c r="H29" s="16">
        <v>1</v>
      </c>
      <c r="I29" s="17">
        <f>((G29-F29)*24)-H29</f>
        <v>11</v>
      </c>
      <c r="J29" s="18">
        <v>11</v>
      </c>
      <c r="K29" s="19">
        <f t="shared" si="2"/>
        <v>0</v>
      </c>
      <c r="L29" s="21">
        <v>0</v>
      </c>
      <c r="M29" s="10">
        <f t="shared" si="5"/>
        <v>20200</v>
      </c>
      <c r="N29" s="20">
        <f t="shared" si="6"/>
        <v>222200</v>
      </c>
      <c r="O29" s="20">
        <f t="shared" si="3"/>
        <v>0</v>
      </c>
      <c r="P29" s="20">
        <f>P1</f>
        <v>38000</v>
      </c>
      <c r="Q29" s="20">
        <f t="shared" si="0"/>
        <v>260200</v>
      </c>
    </row>
    <row r="30" spans="1:18" s="1" customFormat="1" ht="18" customHeight="1" x14ac:dyDescent="0.25">
      <c r="A30" s="27">
        <v>26</v>
      </c>
      <c r="B30" s="14">
        <v>45803</v>
      </c>
      <c r="C30" s="14" t="s">
        <v>27</v>
      </c>
      <c r="D30" s="15" t="s">
        <v>18</v>
      </c>
      <c r="E30" s="22">
        <v>0.79166666666666663</v>
      </c>
      <c r="F30" s="120">
        <v>45803.791666666664</v>
      </c>
      <c r="G30" s="120">
        <v>45804.291666666664</v>
      </c>
      <c r="H30" s="16">
        <v>1</v>
      </c>
      <c r="I30" s="17">
        <f t="shared" si="1"/>
        <v>11</v>
      </c>
      <c r="J30" s="18">
        <v>11</v>
      </c>
      <c r="K30" s="19">
        <f t="shared" si="2"/>
        <v>0</v>
      </c>
      <c r="L30" s="21">
        <v>0</v>
      </c>
      <c r="M30" s="10">
        <f t="shared" si="5"/>
        <v>20200</v>
      </c>
      <c r="N30" s="20">
        <f t="shared" si="6"/>
        <v>222200</v>
      </c>
      <c r="O30" s="20">
        <f t="shared" si="3"/>
        <v>0</v>
      </c>
      <c r="P30" s="20">
        <f>P1</f>
        <v>38000</v>
      </c>
      <c r="Q30" s="20">
        <f t="shared" si="0"/>
        <v>260200</v>
      </c>
    </row>
    <row r="31" spans="1:18" ht="15" customHeight="1" x14ac:dyDescent="0.25">
      <c r="A31" s="152" t="s">
        <v>19</v>
      </c>
      <c r="B31" s="153"/>
      <c r="C31" s="154"/>
      <c r="D31" s="36"/>
      <c r="E31" s="36"/>
      <c r="F31" s="63"/>
      <c r="G31" s="63"/>
      <c r="H31" s="37"/>
      <c r="I31" s="38"/>
      <c r="J31" s="12"/>
      <c r="K31" s="12"/>
      <c r="L31" s="11"/>
      <c r="M31" s="12"/>
      <c r="N31" s="12">
        <f>SUM(N5:N30)</f>
        <v>5777200</v>
      </c>
      <c r="O31" s="12">
        <f>SUM(O5:O30)</f>
        <v>0</v>
      </c>
      <c r="P31" s="12">
        <f>SUM(P5:P30)</f>
        <v>988000</v>
      </c>
      <c r="Q31" s="12">
        <f>SUM(Q5:Q30)</f>
        <v>6765200</v>
      </c>
      <c r="R31" s="13"/>
    </row>
    <row r="32" spans="1:18" ht="15" customHeight="1" x14ac:dyDescent="0.25">
      <c r="A32" s="9"/>
      <c r="B32" s="39"/>
      <c r="C32" s="39"/>
      <c r="D32" s="40"/>
      <c r="E32" s="40"/>
      <c r="F32" s="76"/>
      <c r="G32" s="41"/>
      <c r="H32" s="118"/>
      <c r="N32" s="163"/>
      <c r="O32" s="163"/>
      <c r="P32" s="163"/>
      <c r="Q32" s="90"/>
      <c r="R32" s="13"/>
    </row>
    <row r="33" spans="1:18" ht="15" customHeight="1" x14ac:dyDescent="0.25">
      <c r="A33" s="9"/>
      <c r="B33" s="39"/>
      <c r="C33" s="39"/>
      <c r="D33" s="40"/>
      <c r="E33" s="40"/>
      <c r="F33" s="76"/>
      <c r="G33" s="41"/>
      <c r="H33" s="118"/>
      <c r="M33" s="112"/>
      <c r="N33" s="164"/>
      <c r="O33" s="164"/>
      <c r="P33" s="164"/>
      <c r="Q33" s="90"/>
      <c r="R33" s="13"/>
    </row>
    <row r="34" spans="1:18" ht="15" customHeight="1" x14ac:dyDescent="0.25">
      <c r="A34" s="9"/>
      <c r="B34" s="39"/>
      <c r="C34" s="39"/>
      <c r="D34" s="40"/>
      <c r="E34" s="40"/>
      <c r="F34" s="76"/>
      <c r="G34" s="41"/>
      <c r="H34" s="118"/>
      <c r="I34" s="118"/>
      <c r="J34" s="9"/>
      <c r="K34" s="9"/>
      <c r="L34" s="9"/>
      <c r="M34" s="9"/>
      <c r="N34" s="164"/>
      <c r="O34" s="164"/>
      <c r="P34" s="164"/>
      <c r="Q34" s="90"/>
      <c r="R34" s="13"/>
    </row>
    <row r="35" spans="1:18" ht="15" customHeight="1" x14ac:dyDescent="0.25">
      <c r="A35" s="9"/>
      <c r="B35" s="39"/>
      <c r="C35" s="39"/>
      <c r="D35" s="40"/>
      <c r="E35" s="40"/>
      <c r="F35" s="76"/>
      <c r="G35" s="41"/>
      <c r="H35" s="118"/>
      <c r="I35" s="118"/>
      <c r="J35" s="9"/>
      <c r="K35" s="9"/>
      <c r="L35" s="9"/>
      <c r="M35" s="9"/>
      <c r="N35" s="119"/>
      <c r="O35" s="119"/>
      <c r="P35" s="119"/>
      <c r="Q35" s="90"/>
      <c r="R35" s="13"/>
    </row>
    <row r="36" spans="1:18" ht="15" customHeight="1" x14ac:dyDescent="0.25">
      <c r="A36" s="9"/>
      <c r="B36" s="39"/>
      <c r="C36" s="39"/>
      <c r="D36" s="40"/>
      <c r="E36" s="40"/>
      <c r="F36" s="76"/>
      <c r="G36" s="41"/>
      <c r="H36" s="118"/>
      <c r="I36" s="118"/>
      <c r="J36" s="9"/>
      <c r="K36" s="9"/>
      <c r="L36" s="9"/>
      <c r="M36" s="9"/>
      <c r="N36" s="119"/>
      <c r="O36" s="119"/>
      <c r="P36" s="119"/>
      <c r="Q36" s="90"/>
      <c r="R36" s="13"/>
    </row>
    <row r="37" spans="1:18" ht="15" customHeight="1" x14ac:dyDescent="0.25">
      <c r="A37" s="9"/>
      <c r="B37" s="39"/>
      <c r="C37" s="39"/>
      <c r="D37" s="40"/>
      <c r="E37" s="40"/>
      <c r="F37" s="76"/>
      <c r="G37" s="41"/>
      <c r="H37" s="118"/>
      <c r="I37" s="118"/>
      <c r="J37" s="9"/>
      <c r="K37" s="9"/>
      <c r="L37" s="9"/>
      <c r="M37" s="9"/>
      <c r="N37" s="119"/>
      <c r="O37" s="119"/>
      <c r="P37" s="119"/>
      <c r="Q37" s="90"/>
      <c r="R37" s="13"/>
    </row>
    <row r="38" spans="1:18" ht="15" customHeight="1" x14ac:dyDescent="0.25">
      <c r="A38" s="9"/>
      <c r="B38" s="39"/>
      <c r="C38" s="39"/>
      <c r="D38" s="40"/>
      <c r="E38" s="40"/>
      <c r="F38" s="76"/>
      <c r="G38" s="41"/>
      <c r="H38" s="118"/>
      <c r="I38" s="118"/>
      <c r="J38" s="9"/>
      <c r="K38" s="9"/>
      <c r="L38" s="9"/>
      <c r="M38" s="9"/>
      <c r="N38" s="119"/>
      <c r="O38" s="119"/>
      <c r="P38" s="119"/>
      <c r="Q38" s="90"/>
      <c r="R38" s="13"/>
    </row>
    <row r="39" spans="1:18" ht="15" customHeight="1" x14ac:dyDescent="0.25">
      <c r="A39" s="8"/>
      <c r="B39" s="109" t="s">
        <v>0</v>
      </c>
      <c r="C39" s="9" t="s">
        <v>56</v>
      </c>
      <c r="D39" s="8"/>
      <c r="E39" s="9"/>
      <c r="F39" s="8"/>
      <c r="G39" s="8"/>
      <c r="H39" s="8"/>
      <c r="I39" s="9"/>
      <c r="J39" s="8" t="s">
        <v>58</v>
      </c>
      <c r="K39" s="8"/>
      <c r="N39" s="9" t="s">
        <v>2</v>
      </c>
      <c r="O39" s="76" t="s">
        <v>20</v>
      </c>
      <c r="P39" s="110">
        <f>37000+1000</f>
        <v>38000</v>
      </c>
      <c r="Q39" s="111" t="s">
        <v>24</v>
      </c>
    </row>
    <row r="40" spans="1:18" ht="15" customHeight="1" x14ac:dyDescent="0.25">
      <c r="A40" s="8"/>
      <c r="B40" s="109" t="s">
        <v>1</v>
      </c>
      <c r="C40" s="9" t="s">
        <v>29</v>
      </c>
      <c r="D40" s="8"/>
      <c r="E40" s="9"/>
      <c r="F40" s="109"/>
      <c r="G40" s="9"/>
      <c r="H40" s="8"/>
      <c r="I40" s="9"/>
      <c r="J40" s="9"/>
      <c r="K40" s="76"/>
      <c r="L40" s="110"/>
      <c r="M40" s="111"/>
      <c r="N40" s="9" t="s">
        <v>21</v>
      </c>
      <c r="O40" s="76" t="s">
        <v>20</v>
      </c>
      <c r="P40" s="110">
        <v>15000</v>
      </c>
      <c r="Q40" s="111" t="s">
        <v>23</v>
      </c>
    </row>
    <row r="41" spans="1:18" ht="15" customHeight="1" x14ac:dyDescent="0.25">
      <c r="A41" s="157" t="s">
        <v>36</v>
      </c>
      <c r="B41" s="162" t="s">
        <v>3</v>
      </c>
      <c r="C41" s="162" t="s">
        <v>4</v>
      </c>
      <c r="D41" s="155" t="s">
        <v>5</v>
      </c>
      <c r="E41" s="155" t="s">
        <v>34</v>
      </c>
      <c r="F41" s="157" t="s">
        <v>6</v>
      </c>
      <c r="G41" s="159" t="s">
        <v>7</v>
      </c>
      <c r="H41" s="155" t="s">
        <v>8</v>
      </c>
      <c r="I41" s="161" t="s">
        <v>9</v>
      </c>
      <c r="J41" s="151" t="s">
        <v>10</v>
      </c>
      <c r="K41" s="151" t="s">
        <v>11</v>
      </c>
      <c r="L41" s="151" t="s">
        <v>12</v>
      </c>
      <c r="M41" s="151" t="s">
        <v>13</v>
      </c>
      <c r="N41" s="151" t="s">
        <v>14</v>
      </c>
      <c r="O41" s="151" t="s">
        <v>15</v>
      </c>
      <c r="P41" s="151" t="s">
        <v>16</v>
      </c>
      <c r="Q41" s="151" t="s">
        <v>17</v>
      </c>
    </row>
    <row r="42" spans="1:18" ht="15" customHeight="1" x14ac:dyDescent="0.25">
      <c r="A42" s="158"/>
      <c r="B42" s="162"/>
      <c r="C42" s="162"/>
      <c r="D42" s="156"/>
      <c r="E42" s="156"/>
      <c r="F42" s="158"/>
      <c r="G42" s="160"/>
      <c r="H42" s="156"/>
      <c r="I42" s="161"/>
      <c r="J42" s="151"/>
      <c r="K42" s="151"/>
      <c r="L42" s="151"/>
      <c r="M42" s="151"/>
      <c r="N42" s="151"/>
      <c r="O42" s="151"/>
      <c r="P42" s="151"/>
      <c r="Q42" s="151"/>
    </row>
    <row r="43" spans="1:18" ht="15" customHeight="1" x14ac:dyDescent="0.25">
      <c r="A43" s="27">
        <v>1</v>
      </c>
      <c r="B43" s="14">
        <v>45778</v>
      </c>
      <c r="C43" s="14" t="s">
        <v>25</v>
      </c>
      <c r="D43" s="15" t="s">
        <v>18</v>
      </c>
      <c r="E43" s="22">
        <v>0.29166666666666669</v>
      </c>
      <c r="F43" s="120">
        <v>45778.291666666664</v>
      </c>
      <c r="G43" s="120">
        <v>45778.791666666664</v>
      </c>
      <c r="H43" s="16">
        <v>1</v>
      </c>
      <c r="I43" s="17">
        <f>((G43-F43)*24)-H43</f>
        <v>11</v>
      </c>
      <c r="J43" s="18">
        <v>11</v>
      </c>
      <c r="K43" s="19">
        <f>I43-J43</f>
        <v>0</v>
      </c>
      <c r="L43" s="21">
        <v>0</v>
      </c>
      <c r="M43" s="10">
        <f>P40</f>
        <v>15000</v>
      </c>
      <c r="N43" s="20">
        <f>J43*M43</f>
        <v>165000</v>
      </c>
      <c r="O43" s="20">
        <f>L43*M43</f>
        <v>0</v>
      </c>
      <c r="P43" s="20">
        <f>P39</f>
        <v>38000</v>
      </c>
      <c r="Q43" s="20">
        <f t="shared" ref="Q43:Q68" si="12">N43+O43+P43</f>
        <v>203000</v>
      </c>
    </row>
    <row r="44" spans="1:18" ht="15" customHeight="1" x14ac:dyDescent="0.25">
      <c r="A44" s="27">
        <v>2</v>
      </c>
      <c r="B44" s="14">
        <v>45779</v>
      </c>
      <c r="C44" s="14" t="s">
        <v>26</v>
      </c>
      <c r="D44" s="15" t="s">
        <v>18</v>
      </c>
      <c r="E44" s="22">
        <v>0.29166666666666669</v>
      </c>
      <c r="F44" s="120">
        <v>45779.291666666664</v>
      </c>
      <c r="G44" s="120">
        <v>45779.791666666664</v>
      </c>
      <c r="H44" s="16">
        <v>1</v>
      </c>
      <c r="I44" s="17">
        <f t="shared" ref="I44:I66" si="13">((G44-F44)*24)-H44</f>
        <v>11</v>
      </c>
      <c r="J44" s="18">
        <v>11</v>
      </c>
      <c r="K44" s="19">
        <f t="shared" ref="K44:K68" si="14">I44-J44</f>
        <v>0</v>
      </c>
      <c r="L44" s="21">
        <v>0</v>
      </c>
      <c r="M44" s="10">
        <f>P40</f>
        <v>15000</v>
      </c>
      <c r="N44" s="20">
        <f>J44*M44</f>
        <v>165000</v>
      </c>
      <c r="O44" s="20">
        <f t="shared" ref="O44:O54" si="15">L44*M44</f>
        <v>0</v>
      </c>
      <c r="P44" s="20">
        <f>P39</f>
        <v>38000</v>
      </c>
      <c r="Q44" s="20">
        <f t="shared" si="12"/>
        <v>203000</v>
      </c>
    </row>
    <row r="45" spans="1:18" ht="15" customHeight="1" x14ac:dyDescent="0.25">
      <c r="A45" s="27">
        <v>3</v>
      </c>
      <c r="B45" s="14">
        <v>45780</v>
      </c>
      <c r="C45" s="14" t="s">
        <v>57</v>
      </c>
      <c r="D45" s="15" t="s">
        <v>18</v>
      </c>
      <c r="E45" s="22">
        <v>0.29166666666666669</v>
      </c>
      <c r="F45" s="120">
        <v>45780.291666666664</v>
      </c>
      <c r="G45" s="120">
        <v>45780.791666666664</v>
      </c>
      <c r="H45" s="16">
        <v>1</v>
      </c>
      <c r="I45" s="17">
        <f t="shared" si="13"/>
        <v>11</v>
      </c>
      <c r="J45" s="18">
        <v>11</v>
      </c>
      <c r="K45" s="19">
        <f t="shared" si="14"/>
        <v>0</v>
      </c>
      <c r="L45" s="21">
        <f t="shared" ref="L45:L50" si="16">K45*2</f>
        <v>0</v>
      </c>
      <c r="M45" s="10">
        <f>P40</f>
        <v>15000</v>
      </c>
      <c r="N45" s="20">
        <f>J45*M45</f>
        <v>165000</v>
      </c>
      <c r="O45" s="20">
        <f t="shared" si="15"/>
        <v>0</v>
      </c>
      <c r="P45" s="20">
        <f>P39</f>
        <v>38000</v>
      </c>
      <c r="Q45" s="20">
        <f t="shared" si="12"/>
        <v>203000</v>
      </c>
    </row>
    <row r="46" spans="1:18" ht="15" customHeight="1" x14ac:dyDescent="0.25">
      <c r="A46" s="27">
        <v>4</v>
      </c>
      <c r="B46" s="14">
        <v>45781</v>
      </c>
      <c r="C46" s="14" t="s">
        <v>54</v>
      </c>
      <c r="D46" s="15" t="s">
        <v>18</v>
      </c>
      <c r="E46" s="22">
        <v>0.29166666666666669</v>
      </c>
      <c r="F46" s="120">
        <v>45781.291666666664</v>
      </c>
      <c r="G46" s="120">
        <v>45781.791666666664</v>
      </c>
      <c r="H46" s="16">
        <v>1</v>
      </c>
      <c r="I46" s="17">
        <f t="shared" si="13"/>
        <v>11</v>
      </c>
      <c r="J46" s="18">
        <v>11</v>
      </c>
      <c r="K46" s="19">
        <f t="shared" si="14"/>
        <v>0</v>
      </c>
      <c r="L46" s="21">
        <f t="shared" si="16"/>
        <v>0</v>
      </c>
      <c r="M46" s="10">
        <f>P40</f>
        <v>15000</v>
      </c>
      <c r="N46" s="20">
        <f>J46*M46</f>
        <v>165000</v>
      </c>
      <c r="O46" s="20">
        <f t="shared" si="15"/>
        <v>0</v>
      </c>
      <c r="P46" s="20">
        <f>P39</f>
        <v>38000</v>
      </c>
      <c r="Q46" s="20">
        <f t="shared" si="12"/>
        <v>203000</v>
      </c>
    </row>
    <row r="47" spans="1:18" ht="15" customHeight="1" x14ac:dyDescent="0.25">
      <c r="A47" s="27">
        <v>5</v>
      </c>
      <c r="B47" s="14">
        <v>45782</v>
      </c>
      <c r="C47" s="14" t="s">
        <v>27</v>
      </c>
      <c r="D47" s="15" t="s">
        <v>18</v>
      </c>
      <c r="E47" s="22">
        <v>0.29166666666666669</v>
      </c>
      <c r="F47" s="120">
        <v>45782.291666666664</v>
      </c>
      <c r="G47" s="120">
        <v>45782.791666666664</v>
      </c>
      <c r="H47" s="16">
        <v>1</v>
      </c>
      <c r="I47" s="17">
        <f t="shared" si="13"/>
        <v>11</v>
      </c>
      <c r="J47" s="18">
        <v>11</v>
      </c>
      <c r="K47" s="19">
        <f t="shared" si="14"/>
        <v>0</v>
      </c>
      <c r="L47" s="21">
        <f t="shared" si="16"/>
        <v>0</v>
      </c>
      <c r="M47" s="10">
        <f>P40</f>
        <v>15000</v>
      </c>
      <c r="N47" s="20">
        <f t="shared" ref="N47:N68" si="17">J47*M47</f>
        <v>165000</v>
      </c>
      <c r="O47" s="20">
        <f t="shared" si="15"/>
        <v>0</v>
      </c>
      <c r="P47" s="20">
        <f>P39</f>
        <v>38000</v>
      </c>
      <c r="Q47" s="20">
        <f t="shared" si="12"/>
        <v>203000</v>
      </c>
    </row>
    <row r="48" spans="1:18" ht="15" customHeight="1" x14ac:dyDescent="0.25">
      <c r="A48" s="27">
        <v>6</v>
      </c>
      <c r="B48" s="14">
        <v>45783</v>
      </c>
      <c r="C48" s="14" t="s">
        <v>22</v>
      </c>
      <c r="D48" s="15" t="s">
        <v>18</v>
      </c>
      <c r="E48" s="22">
        <v>0.29166666666666669</v>
      </c>
      <c r="F48" s="120">
        <v>45783.291666666664</v>
      </c>
      <c r="G48" s="120">
        <v>45783.791666666664</v>
      </c>
      <c r="H48" s="16">
        <v>1</v>
      </c>
      <c r="I48" s="17">
        <f t="shared" si="13"/>
        <v>11</v>
      </c>
      <c r="J48" s="18">
        <v>11</v>
      </c>
      <c r="K48" s="19">
        <f t="shared" si="14"/>
        <v>0</v>
      </c>
      <c r="L48" s="21">
        <f t="shared" si="16"/>
        <v>0</v>
      </c>
      <c r="M48" s="10">
        <f>P40</f>
        <v>15000</v>
      </c>
      <c r="N48" s="20">
        <f t="shared" si="17"/>
        <v>165000</v>
      </c>
      <c r="O48" s="20">
        <f t="shared" si="15"/>
        <v>0</v>
      </c>
      <c r="P48" s="20">
        <f>P39</f>
        <v>38000</v>
      </c>
      <c r="Q48" s="20">
        <f t="shared" si="12"/>
        <v>203000</v>
      </c>
    </row>
    <row r="49" spans="1:17" ht="15" customHeight="1" x14ac:dyDescent="0.25">
      <c r="A49" s="27">
        <v>7</v>
      </c>
      <c r="B49" s="14">
        <v>45784</v>
      </c>
      <c r="C49" s="14" t="s">
        <v>28</v>
      </c>
      <c r="D49" s="15" t="s">
        <v>18</v>
      </c>
      <c r="E49" s="22">
        <v>0.29166666666666669</v>
      </c>
      <c r="F49" s="120">
        <v>45784.291666666664</v>
      </c>
      <c r="G49" s="120">
        <v>45784.791666666664</v>
      </c>
      <c r="H49" s="16">
        <v>1</v>
      </c>
      <c r="I49" s="17">
        <f t="shared" si="13"/>
        <v>11</v>
      </c>
      <c r="J49" s="18">
        <v>11</v>
      </c>
      <c r="K49" s="19">
        <f t="shared" si="14"/>
        <v>0</v>
      </c>
      <c r="L49" s="21">
        <f t="shared" si="16"/>
        <v>0</v>
      </c>
      <c r="M49" s="10">
        <f>P40</f>
        <v>15000</v>
      </c>
      <c r="N49" s="20">
        <f t="shared" si="17"/>
        <v>165000</v>
      </c>
      <c r="O49" s="20">
        <f t="shared" si="15"/>
        <v>0</v>
      </c>
      <c r="P49" s="20">
        <f>P39</f>
        <v>38000</v>
      </c>
      <c r="Q49" s="20">
        <f t="shared" si="12"/>
        <v>203000</v>
      </c>
    </row>
    <row r="50" spans="1:17" ht="15" customHeight="1" x14ac:dyDescent="0.25">
      <c r="A50" s="27">
        <v>8</v>
      </c>
      <c r="B50" s="14">
        <v>45785</v>
      </c>
      <c r="C50" s="14" t="s">
        <v>25</v>
      </c>
      <c r="D50" s="15" t="s">
        <v>18</v>
      </c>
      <c r="E50" s="22">
        <v>0.29166666666666669</v>
      </c>
      <c r="F50" s="120">
        <v>45785.291666666664</v>
      </c>
      <c r="G50" s="120">
        <v>45785.791666666664</v>
      </c>
      <c r="H50" s="16">
        <v>1</v>
      </c>
      <c r="I50" s="17">
        <f t="shared" si="13"/>
        <v>11</v>
      </c>
      <c r="J50" s="18">
        <v>11</v>
      </c>
      <c r="K50" s="19">
        <f t="shared" si="14"/>
        <v>0</v>
      </c>
      <c r="L50" s="21">
        <f t="shared" si="16"/>
        <v>0</v>
      </c>
      <c r="M50" s="10">
        <f>P40</f>
        <v>15000</v>
      </c>
      <c r="N50" s="20">
        <f t="shared" si="17"/>
        <v>165000</v>
      </c>
      <c r="O50" s="20">
        <f t="shared" si="15"/>
        <v>0</v>
      </c>
      <c r="P50" s="20">
        <f>P39</f>
        <v>38000</v>
      </c>
      <c r="Q50" s="20">
        <f t="shared" si="12"/>
        <v>203000</v>
      </c>
    </row>
    <row r="51" spans="1:17" ht="15" customHeight="1" x14ac:dyDescent="0.25">
      <c r="A51" s="27">
        <v>9</v>
      </c>
      <c r="B51" s="14">
        <v>45786</v>
      </c>
      <c r="C51" s="14" t="s">
        <v>26</v>
      </c>
      <c r="D51" s="15" t="s">
        <v>18</v>
      </c>
      <c r="E51" s="22">
        <v>0.29166666666666669</v>
      </c>
      <c r="F51" s="120">
        <v>45786.291666666664</v>
      </c>
      <c r="G51" s="120">
        <v>45786.791666666664</v>
      </c>
      <c r="H51" s="16">
        <v>1</v>
      </c>
      <c r="I51" s="17">
        <f t="shared" si="13"/>
        <v>11</v>
      </c>
      <c r="J51" s="18">
        <v>11</v>
      </c>
      <c r="K51" s="19">
        <f t="shared" si="14"/>
        <v>0</v>
      </c>
      <c r="L51" s="21">
        <v>0</v>
      </c>
      <c r="M51" s="10">
        <f>P40</f>
        <v>15000</v>
      </c>
      <c r="N51" s="20">
        <f t="shared" si="17"/>
        <v>165000</v>
      </c>
      <c r="O51" s="20">
        <f t="shared" si="15"/>
        <v>0</v>
      </c>
      <c r="P51" s="20">
        <f>P39</f>
        <v>38000</v>
      </c>
      <c r="Q51" s="20">
        <f t="shared" si="12"/>
        <v>203000</v>
      </c>
    </row>
    <row r="52" spans="1:17" ht="15" customHeight="1" x14ac:dyDescent="0.25">
      <c r="A52" s="27">
        <v>10</v>
      </c>
      <c r="B52" s="14">
        <v>45787</v>
      </c>
      <c r="C52" s="14" t="s">
        <v>57</v>
      </c>
      <c r="D52" s="15" t="s">
        <v>18</v>
      </c>
      <c r="E52" s="22">
        <v>0.29166666666666669</v>
      </c>
      <c r="F52" s="120">
        <v>45787.291666666664</v>
      </c>
      <c r="G52" s="120">
        <v>45787.791666666664</v>
      </c>
      <c r="H52" s="16">
        <v>1</v>
      </c>
      <c r="I52" s="17">
        <f t="shared" si="13"/>
        <v>11</v>
      </c>
      <c r="J52" s="18">
        <v>11</v>
      </c>
      <c r="K52" s="19">
        <f t="shared" si="14"/>
        <v>0</v>
      </c>
      <c r="L52" s="21">
        <f>K52*2</f>
        <v>0</v>
      </c>
      <c r="M52" s="10">
        <f>P40</f>
        <v>15000</v>
      </c>
      <c r="N52" s="20">
        <f t="shared" si="17"/>
        <v>165000</v>
      </c>
      <c r="O52" s="20">
        <f t="shared" si="15"/>
        <v>0</v>
      </c>
      <c r="P52" s="20">
        <f>P39</f>
        <v>38000</v>
      </c>
      <c r="Q52" s="20">
        <f t="shared" si="12"/>
        <v>203000</v>
      </c>
    </row>
    <row r="53" spans="1:17" ht="15" customHeight="1" x14ac:dyDescent="0.25">
      <c r="A53" s="27">
        <v>11</v>
      </c>
      <c r="B53" s="14">
        <v>45788</v>
      </c>
      <c r="C53" s="14" t="s">
        <v>54</v>
      </c>
      <c r="D53" s="15" t="s">
        <v>18</v>
      </c>
      <c r="E53" s="22">
        <v>0.29166666666666669</v>
      </c>
      <c r="F53" s="120">
        <v>45788.291666666664</v>
      </c>
      <c r="G53" s="120">
        <v>45788.791666666664</v>
      </c>
      <c r="H53" s="16">
        <v>1</v>
      </c>
      <c r="I53" s="17">
        <f t="shared" si="13"/>
        <v>11</v>
      </c>
      <c r="J53" s="18">
        <v>11</v>
      </c>
      <c r="K53" s="19">
        <f t="shared" si="14"/>
        <v>0</v>
      </c>
      <c r="L53" s="21">
        <v>0</v>
      </c>
      <c r="M53" s="10">
        <f>P40</f>
        <v>15000</v>
      </c>
      <c r="N53" s="20">
        <f t="shared" si="17"/>
        <v>165000</v>
      </c>
      <c r="O53" s="20">
        <f t="shared" si="15"/>
        <v>0</v>
      </c>
      <c r="P53" s="20">
        <f>P39</f>
        <v>38000</v>
      </c>
      <c r="Q53" s="20">
        <f t="shared" si="12"/>
        <v>203000</v>
      </c>
    </row>
    <row r="54" spans="1:17" ht="15" customHeight="1" x14ac:dyDescent="0.25">
      <c r="A54" s="27">
        <v>12</v>
      </c>
      <c r="B54" s="14">
        <v>45789</v>
      </c>
      <c r="C54" s="14" t="s">
        <v>27</v>
      </c>
      <c r="D54" s="15" t="s">
        <v>18</v>
      </c>
      <c r="E54" s="22">
        <v>0.29166666666666669</v>
      </c>
      <c r="F54" s="120">
        <v>45789.291666666664</v>
      </c>
      <c r="G54" s="120">
        <v>45789.791666666664</v>
      </c>
      <c r="H54" s="16">
        <v>1</v>
      </c>
      <c r="I54" s="17">
        <f t="shared" si="13"/>
        <v>11</v>
      </c>
      <c r="J54" s="18">
        <v>11</v>
      </c>
      <c r="K54" s="19">
        <f t="shared" si="14"/>
        <v>0</v>
      </c>
      <c r="L54" s="21">
        <v>0</v>
      </c>
      <c r="M54" s="10">
        <f>P40</f>
        <v>15000</v>
      </c>
      <c r="N54" s="20">
        <f t="shared" si="17"/>
        <v>165000</v>
      </c>
      <c r="O54" s="20">
        <f t="shared" si="15"/>
        <v>0</v>
      </c>
      <c r="P54" s="20">
        <f>P39</f>
        <v>38000</v>
      </c>
      <c r="Q54" s="20">
        <f t="shared" si="12"/>
        <v>203000</v>
      </c>
    </row>
    <row r="55" spans="1:17" ht="15" customHeight="1" x14ac:dyDescent="0.25">
      <c r="A55" s="27">
        <v>13</v>
      </c>
      <c r="B55" s="14">
        <v>45790</v>
      </c>
      <c r="C55" s="14" t="s">
        <v>22</v>
      </c>
      <c r="D55" s="15" t="s">
        <v>18</v>
      </c>
      <c r="E55" s="22">
        <v>0.29166666666666669</v>
      </c>
      <c r="F55" s="120">
        <v>45790.291666666664</v>
      </c>
      <c r="G55" s="120">
        <v>45790.791666666664</v>
      </c>
      <c r="H55" s="16">
        <v>1</v>
      </c>
      <c r="I55" s="17">
        <f t="shared" si="13"/>
        <v>11</v>
      </c>
      <c r="J55" s="18">
        <v>11</v>
      </c>
      <c r="K55" s="19">
        <f t="shared" si="14"/>
        <v>0</v>
      </c>
      <c r="L55" s="21">
        <v>0</v>
      </c>
      <c r="M55" s="10">
        <f>P40</f>
        <v>15000</v>
      </c>
      <c r="N55" s="20">
        <f t="shared" si="17"/>
        <v>165000</v>
      </c>
      <c r="O55" s="20">
        <f>L55*M55</f>
        <v>0</v>
      </c>
      <c r="P55" s="20">
        <f>P39</f>
        <v>38000</v>
      </c>
      <c r="Q55" s="20">
        <f t="shared" si="12"/>
        <v>203000</v>
      </c>
    </row>
    <row r="56" spans="1:17" ht="15" customHeight="1" x14ac:dyDescent="0.25">
      <c r="A56" s="27">
        <v>14</v>
      </c>
      <c r="B56" s="14">
        <v>45791</v>
      </c>
      <c r="C56" s="14" t="s">
        <v>28</v>
      </c>
      <c r="D56" s="15" t="s">
        <v>18</v>
      </c>
      <c r="E56" s="22">
        <v>0.29166666666666669</v>
      </c>
      <c r="F56" s="120">
        <v>45791.291666666664</v>
      </c>
      <c r="G56" s="120">
        <v>45791.791666666664</v>
      </c>
      <c r="H56" s="16">
        <v>1</v>
      </c>
      <c r="I56" s="17">
        <f t="shared" si="13"/>
        <v>11</v>
      </c>
      <c r="J56" s="18">
        <v>11</v>
      </c>
      <c r="K56" s="19">
        <f t="shared" si="14"/>
        <v>0</v>
      </c>
      <c r="L56" s="21">
        <v>0</v>
      </c>
      <c r="M56" s="10">
        <f>P40</f>
        <v>15000</v>
      </c>
      <c r="N56" s="20">
        <f t="shared" si="17"/>
        <v>165000</v>
      </c>
      <c r="O56" s="20">
        <f>L56*M56</f>
        <v>0</v>
      </c>
      <c r="P56" s="20">
        <f>P39</f>
        <v>38000</v>
      </c>
      <c r="Q56" s="20">
        <f t="shared" si="12"/>
        <v>203000</v>
      </c>
    </row>
    <row r="57" spans="1:17" ht="15" customHeight="1" x14ac:dyDescent="0.25">
      <c r="A57" s="27">
        <v>15</v>
      </c>
      <c r="B57" s="14">
        <v>45792</v>
      </c>
      <c r="C57" s="14" t="s">
        <v>25</v>
      </c>
      <c r="D57" s="15" t="s">
        <v>18</v>
      </c>
      <c r="E57" s="22">
        <v>0.29166666666666669</v>
      </c>
      <c r="F57" s="120">
        <v>45792.291666666664</v>
      </c>
      <c r="G57" s="120">
        <v>45792.791666666664</v>
      </c>
      <c r="H57" s="16">
        <v>1</v>
      </c>
      <c r="I57" s="17">
        <f t="shared" si="13"/>
        <v>11</v>
      </c>
      <c r="J57" s="18">
        <v>11</v>
      </c>
      <c r="K57" s="19">
        <f t="shared" si="14"/>
        <v>0</v>
      </c>
      <c r="L57" s="21">
        <v>0</v>
      </c>
      <c r="M57" s="10">
        <f>P40</f>
        <v>15000</v>
      </c>
      <c r="N57" s="20">
        <f t="shared" si="17"/>
        <v>165000</v>
      </c>
      <c r="O57" s="20">
        <f t="shared" ref="O57:O62" si="18">L57*M57</f>
        <v>0</v>
      </c>
      <c r="P57" s="20">
        <f>P39</f>
        <v>38000</v>
      </c>
      <c r="Q57" s="20">
        <f t="shared" si="12"/>
        <v>203000</v>
      </c>
    </row>
    <row r="58" spans="1:17" ht="15" customHeight="1" x14ac:dyDescent="0.25">
      <c r="A58" s="27">
        <v>16</v>
      </c>
      <c r="B58" s="14">
        <v>45793</v>
      </c>
      <c r="C58" s="14" t="s">
        <v>26</v>
      </c>
      <c r="D58" s="15" t="s">
        <v>18</v>
      </c>
      <c r="E58" s="22">
        <v>0.29166666666666669</v>
      </c>
      <c r="F58" s="120">
        <v>45793.291666666664</v>
      </c>
      <c r="G58" s="120">
        <v>45793.791666666664</v>
      </c>
      <c r="H58" s="16">
        <v>1</v>
      </c>
      <c r="I58" s="17">
        <f t="shared" si="13"/>
        <v>11</v>
      </c>
      <c r="J58" s="18">
        <v>11</v>
      </c>
      <c r="K58" s="19">
        <f t="shared" si="14"/>
        <v>0</v>
      </c>
      <c r="L58" s="21">
        <v>0</v>
      </c>
      <c r="M58" s="10">
        <f>P40</f>
        <v>15000</v>
      </c>
      <c r="N58" s="20">
        <f t="shared" si="17"/>
        <v>165000</v>
      </c>
      <c r="O58" s="20">
        <f t="shared" si="18"/>
        <v>0</v>
      </c>
      <c r="P58" s="20">
        <f>P39</f>
        <v>38000</v>
      </c>
      <c r="Q58" s="20">
        <f t="shared" si="12"/>
        <v>203000</v>
      </c>
    </row>
    <row r="59" spans="1:17" ht="15" customHeight="1" x14ac:dyDescent="0.25">
      <c r="A59" s="27">
        <v>17</v>
      </c>
      <c r="B59" s="14">
        <v>45794</v>
      </c>
      <c r="C59" s="14" t="s">
        <v>57</v>
      </c>
      <c r="D59" s="15" t="s">
        <v>18</v>
      </c>
      <c r="E59" s="22">
        <v>0.29166666666666669</v>
      </c>
      <c r="F59" s="120">
        <v>45794.291666666664</v>
      </c>
      <c r="G59" s="120">
        <v>45794.791666666664</v>
      </c>
      <c r="H59" s="16">
        <v>1</v>
      </c>
      <c r="I59" s="17">
        <f t="shared" si="13"/>
        <v>11</v>
      </c>
      <c r="J59" s="18">
        <v>11</v>
      </c>
      <c r="K59" s="19">
        <f t="shared" si="14"/>
        <v>0</v>
      </c>
      <c r="L59" s="21">
        <v>0</v>
      </c>
      <c r="M59" s="10">
        <f>P40</f>
        <v>15000</v>
      </c>
      <c r="N59" s="20">
        <f t="shared" si="17"/>
        <v>165000</v>
      </c>
      <c r="O59" s="20">
        <f t="shared" si="18"/>
        <v>0</v>
      </c>
      <c r="P59" s="20">
        <f>P39</f>
        <v>38000</v>
      </c>
      <c r="Q59" s="20">
        <f t="shared" si="12"/>
        <v>203000</v>
      </c>
    </row>
    <row r="60" spans="1:17" ht="15" customHeight="1" x14ac:dyDescent="0.25">
      <c r="A60" s="27">
        <v>18</v>
      </c>
      <c r="B60" s="14">
        <v>45795</v>
      </c>
      <c r="C60" s="14" t="s">
        <v>54</v>
      </c>
      <c r="D60" s="15" t="s">
        <v>18</v>
      </c>
      <c r="E60" s="22">
        <v>0.29166666666666669</v>
      </c>
      <c r="F60" s="120">
        <v>45795.291666666664</v>
      </c>
      <c r="G60" s="120">
        <v>45795.791666666664</v>
      </c>
      <c r="H60" s="16">
        <v>1</v>
      </c>
      <c r="I60" s="17">
        <f t="shared" si="13"/>
        <v>11</v>
      </c>
      <c r="J60" s="18">
        <v>11</v>
      </c>
      <c r="K60" s="19">
        <f t="shared" si="14"/>
        <v>0</v>
      </c>
      <c r="L60" s="21">
        <v>0</v>
      </c>
      <c r="M60" s="10">
        <f>P40</f>
        <v>15000</v>
      </c>
      <c r="N60" s="20">
        <f t="shared" si="17"/>
        <v>165000</v>
      </c>
      <c r="O60" s="20">
        <f t="shared" si="18"/>
        <v>0</v>
      </c>
      <c r="P60" s="20">
        <f>P39</f>
        <v>38000</v>
      </c>
      <c r="Q60" s="20">
        <f t="shared" si="12"/>
        <v>203000</v>
      </c>
    </row>
    <row r="61" spans="1:17" ht="15" customHeight="1" x14ac:dyDescent="0.25">
      <c r="A61" s="27">
        <v>19</v>
      </c>
      <c r="B61" s="14">
        <v>45796</v>
      </c>
      <c r="C61" s="14" t="s">
        <v>27</v>
      </c>
      <c r="D61" s="15" t="s">
        <v>18</v>
      </c>
      <c r="E61" s="22">
        <v>0.29166666666666669</v>
      </c>
      <c r="F61" s="120">
        <v>45796.291666666664</v>
      </c>
      <c r="G61" s="120">
        <v>45796.791666666664</v>
      </c>
      <c r="H61" s="16">
        <v>1</v>
      </c>
      <c r="I61" s="17">
        <f t="shared" si="13"/>
        <v>11</v>
      </c>
      <c r="J61" s="18">
        <v>11</v>
      </c>
      <c r="K61" s="19">
        <f t="shared" si="14"/>
        <v>0</v>
      </c>
      <c r="L61" s="21">
        <v>0</v>
      </c>
      <c r="M61" s="10">
        <f>P40</f>
        <v>15000</v>
      </c>
      <c r="N61" s="20">
        <f t="shared" si="17"/>
        <v>165000</v>
      </c>
      <c r="O61" s="20">
        <f t="shared" si="18"/>
        <v>0</v>
      </c>
      <c r="P61" s="20">
        <f>P39</f>
        <v>38000</v>
      </c>
      <c r="Q61" s="20">
        <f t="shared" si="12"/>
        <v>203000</v>
      </c>
    </row>
    <row r="62" spans="1:17" ht="15" customHeight="1" x14ac:dyDescent="0.25">
      <c r="A62" s="27">
        <v>20</v>
      </c>
      <c r="B62" s="14">
        <v>45797</v>
      </c>
      <c r="C62" s="14" t="s">
        <v>22</v>
      </c>
      <c r="D62" s="15" t="s">
        <v>18</v>
      </c>
      <c r="E62" s="22">
        <v>0.29166666666666669</v>
      </c>
      <c r="F62" s="120">
        <v>45797.291666666664</v>
      </c>
      <c r="G62" s="120">
        <v>45797.791666666664</v>
      </c>
      <c r="H62" s="16">
        <v>1</v>
      </c>
      <c r="I62" s="17">
        <f t="shared" si="13"/>
        <v>11</v>
      </c>
      <c r="J62" s="18">
        <v>11</v>
      </c>
      <c r="K62" s="19">
        <f t="shared" si="14"/>
        <v>0</v>
      </c>
      <c r="L62" s="21">
        <v>0</v>
      </c>
      <c r="M62" s="10">
        <f>P40</f>
        <v>15000</v>
      </c>
      <c r="N62" s="20">
        <f t="shared" si="17"/>
        <v>165000</v>
      </c>
      <c r="O62" s="20">
        <f t="shared" si="18"/>
        <v>0</v>
      </c>
      <c r="P62" s="20">
        <f>P39</f>
        <v>38000</v>
      </c>
      <c r="Q62" s="20">
        <f t="shared" si="12"/>
        <v>203000</v>
      </c>
    </row>
    <row r="63" spans="1:17" ht="15" customHeight="1" x14ac:dyDescent="0.25">
      <c r="A63" s="27">
        <v>21</v>
      </c>
      <c r="B63" s="14">
        <v>45798</v>
      </c>
      <c r="C63" s="14" t="s">
        <v>28</v>
      </c>
      <c r="D63" s="15" t="s">
        <v>18</v>
      </c>
      <c r="E63" s="22">
        <v>0.29166666666666669</v>
      </c>
      <c r="F63" s="120">
        <v>45798.291666666664</v>
      </c>
      <c r="G63" s="120">
        <v>45798.791666666664</v>
      </c>
      <c r="H63" s="16">
        <v>1</v>
      </c>
      <c r="I63" s="17">
        <f t="shared" si="13"/>
        <v>11</v>
      </c>
      <c r="J63" s="18">
        <v>11</v>
      </c>
      <c r="K63" s="19">
        <f t="shared" si="14"/>
        <v>0</v>
      </c>
      <c r="L63" s="21">
        <v>0</v>
      </c>
      <c r="M63" s="10">
        <f>P40</f>
        <v>15000</v>
      </c>
      <c r="N63" s="20">
        <f t="shared" si="17"/>
        <v>165000</v>
      </c>
      <c r="O63" s="20">
        <f>L63*M63</f>
        <v>0</v>
      </c>
      <c r="P63" s="20">
        <f>P39</f>
        <v>38000</v>
      </c>
      <c r="Q63" s="20">
        <f t="shared" si="12"/>
        <v>203000</v>
      </c>
    </row>
    <row r="64" spans="1:17" ht="15" customHeight="1" x14ac:dyDescent="0.25">
      <c r="A64" s="27">
        <v>22</v>
      </c>
      <c r="B64" s="14">
        <v>45799</v>
      </c>
      <c r="C64" s="14" t="s">
        <v>25</v>
      </c>
      <c r="D64" s="15" t="s">
        <v>18</v>
      </c>
      <c r="E64" s="22">
        <v>0.29166666666666669</v>
      </c>
      <c r="F64" s="120">
        <v>45799.291666666664</v>
      </c>
      <c r="G64" s="120">
        <v>45799.791666666664</v>
      </c>
      <c r="H64" s="16">
        <v>1</v>
      </c>
      <c r="I64" s="17">
        <f t="shared" si="13"/>
        <v>11</v>
      </c>
      <c r="J64" s="18">
        <v>11</v>
      </c>
      <c r="K64" s="19">
        <f t="shared" si="14"/>
        <v>0</v>
      </c>
      <c r="L64" s="21">
        <v>0</v>
      </c>
      <c r="M64" s="10">
        <f>P40</f>
        <v>15000</v>
      </c>
      <c r="N64" s="20">
        <f t="shared" si="17"/>
        <v>165000</v>
      </c>
      <c r="O64" s="20">
        <f>L64*M64</f>
        <v>0</v>
      </c>
      <c r="P64" s="20">
        <f>P39</f>
        <v>38000</v>
      </c>
      <c r="Q64" s="20">
        <f t="shared" si="12"/>
        <v>203000</v>
      </c>
    </row>
    <row r="65" spans="1:17" ht="15" customHeight="1" x14ac:dyDescent="0.25">
      <c r="A65" s="27">
        <v>23</v>
      </c>
      <c r="B65" s="14">
        <v>45800</v>
      </c>
      <c r="C65" s="14" t="s">
        <v>26</v>
      </c>
      <c r="D65" s="15" t="s">
        <v>18</v>
      </c>
      <c r="E65" s="22">
        <v>0.29166666666666669</v>
      </c>
      <c r="F65" s="120">
        <v>45800.291666666664</v>
      </c>
      <c r="G65" s="120">
        <v>45800.791666666664</v>
      </c>
      <c r="H65" s="16">
        <v>1</v>
      </c>
      <c r="I65" s="17">
        <f t="shared" si="13"/>
        <v>11</v>
      </c>
      <c r="J65" s="18">
        <v>11</v>
      </c>
      <c r="K65" s="19">
        <f t="shared" si="14"/>
        <v>0</v>
      </c>
      <c r="L65" s="21">
        <v>0</v>
      </c>
      <c r="M65" s="10">
        <f>P40</f>
        <v>15000</v>
      </c>
      <c r="N65" s="20">
        <f t="shared" si="17"/>
        <v>165000</v>
      </c>
      <c r="O65" s="20">
        <f t="shared" ref="O65:O68" si="19">L65*M65</f>
        <v>0</v>
      </c>
      <c r="P65" s="20">
        <f>P39</f>
        <v>38000</v>
      </c>
      <c r="Q65" s="20">
        <f t="shared" si="12"/>
        <v>203000</v>
      </c>
    </row>
    <row r="66" spans="1:17" ht="15" customHeight="1" x14ac:dyDescent="0.25">
      <c r="A66" s="27">
        <v>24</v>
      </c>
      <c r="B66" s="14">
        <v>45801</v>
      </c>
      <c r="C66" s="14" t="s">
        <v>57</v>
      </c>
      <c r="D66" s="15" t="s">
        <v>18</v>
      </c>
      <c r="E66" s="22">
        <v>0.29166666666666669</v>
      </c>
      <c r="F66" s="120">
        <v>45801.291666666664</v>
      </c>
      <c r="G66" s="120">
        <v>45801.791666666664</v>
      </c>
      <c r="H66" s="16">
        <v>1</v>
      </c>
      <c r="I66" s="17">
        <f t="shared" si="13"/>
        <v>11</v>
      </c>
      <c r="J66" s="18">
        <v>11</v>
      </c>
      <c r="K66" s="19">
        <f t="shared" si="14"/>
        <v>0</v>
      </c>
      <c r="L66" s="21">
        <v>0</v>
      </c>
      <c r="M66" s="10">
        <f>P40</f>
        <v>15000</v>
      </c>
      <c r="N66" s="20">
        <f t="shared" si="17"/>
        <v>165000</v>
      </c>
      <c r="O66" s="20">
        <f t="shared" si="19"/>
        <v>0</v>
      </c>
      <c r="P66" s="20">
        <f>P39</f>
        <v>38000</v>
      </c>
      <c r="Q66" s="20">
        <f t="shared" si="12"/>
        <v>203000</v>
      </c>
    </row>
    <row r="67" spans="1:17" ht="15" customHeight="1" x14ac:dyDescent="0.25">
      <c r="A67" s="27">
        <v>25</v>
      </c>
      <c r="B67" s="14">
        <v>45802</v>
      </c>
      <c r="C67" s="14" t="s">
        <v>54</v>
      </c>
      <c r="D67" s="15" t="s">
        <v>18</v>
      </c>
      <c r="E67" s="22">
        <v>0.29166666666666669</v>
      </c>
      <c r="F67" s="120">
        <v>45802.291666666664</v>
      </c>
      <c r="G67" s="120">
        <v>45802.791666666664</v>
      </c>
      <c r="H67" s="16">
        <v>1</v>
      </c>
      <c r="I67" s="17">
        <f>((G67-F67)*24)-H67</f>
        <v>11</v>
      </c>
      <c r="J67" s="18">
        <v>11</v>
      </c>
      <c r="K67" s="19">
        <f t="shared" si="14"/>
        <v>0</v>
      </c>
      <c r="L67" s="21">
        <v>0</v>
      </c>
      <c r="M67" s="10">
        <f>P40</f>
        <v>15000</v>
      </c>
      <c r="N67" s="20">
        <f t="shared" si="17"/>
        <v>165000</v>
      </c>
      <c r="O67" s="20">
        <f t="shared" si="19"/>
        <v>0</v>
      </c>
      <c r="P67" s="20">
        <f>P39</f>
        <v>38000</v>
      </c>
      <c r="Q67" s="20">
        <f t="shared" si="12"/>
        <v>203000</v>
      </c>
    </row>
    <row r="68" spans="1:17" ht="15" customHeight="1" x14ac:dyDescent="0.25">
      <c r="A68" s="27">
        <v>26</v>
      </c>
      <c r="B68" s="14">
        <v>45803</v>
      </c>
      <c r="C68" s="14" t="s">
        <v>27</v>
      </c>
      <c r="D68" s="15" t="s">
        <v>18</v>
      </c>
      <c r="E68" s="22">
        <v>0.29166666666666669</v>
      </c>
      <c r="F68" s="120">
        <v>45803.291666666664</v>
      </c>
      <c r="G68" s="120">
        <v>45803.791666666664</v>
      </c>
      <c r="H68" s="16">
        <v>1</v>
      </c>
      <c r="I68" s="17">
        <f t="shared" ref="I68" si="20">((G68-F68)*24)-H68</f>
        <v>11</v>
      </c>
      <c r="J68" s="18">
        <v>11</v>
      </c>
      <c r="K68" s="19">
        <f t="shared" si="14"/>
        <v>0</v>
      </c>
      <c r="L68" s="21">
        <v>0</v>
      </c>
      <c r="M68" s="10">
        <f>P40</f>
        <v>15000</v>
      </c>
      <c r="N68" s="20">
        <f t="shared" si="17"/>
        <v>165000</v>
      </c>
      <c r="O68" s="20">
        <f t="shared" si="19"/>
        <v>0</v>
      </c>
      <c r="P68" s="20">
        <f>P39</f>
        <v>38000</v>
      </c>
      <c r="Q68" s="20">
        <f t="shared" si="12"/>
        <v>203000</v>
      </c>
    </row>
    <row r="69" spans="1:17" ht="15" customHeight="1" x14ac:dyDescent="0.25">
      <c r="A69" s="152" t="s">
        <v>19</v>
      </c>
      <c r="B69" s="153"/>
      <c r="C69" s="154"/>
      <c r="D69" s="36"/>
      <c r="E69" s="36"/>
      <c r="F69" s="63"/>
      <c r="G69" s="63"/>
      <c r="H69" s="37"/>
      <c r="I69" s="38"/>
      <c r="J69" s="12"/>
      <c r="K69" s="12"/>
      <c r="L69" s="11"/>
      <c r="M69" s="12"/>
      <c r="N69" s="12">
        <f>SUM(N43:N68)</f>
        <v>4290000</v>
      </c>
      <c r="O69" s="12">
        <f>SUM(O43:O68)</f>
        <v>0</v>
      </c>
      <c r="P69" s="12">
        <f>SUM(P43:P68)</f>
        <v>988000</v>
      </c>
      <c r="Q69" s="12">
        <f>SUM(Q43:Q68)</f>
        <v>5278000</v>
      </c>
    </row>
  </sheetData>
  <mergeCells count="39">
    <mergeCell ref="K3:K4"/>
    <mergeCell ref="L3:L4"/>
    <mergeCell ref="A3:A4"/>
    <mergeCell ref="B3:B4"/>
    <mergeCell ref="C3:C4"/>
    <mergeCell ref="D3:D4"/>
    <mergeCell ref="E3:E4"/>
    <mergeCell ref="F3:F4"/>
    <mergeCell ref="A31:C31"/>
    <mergeCell ref="G3:G4"/>
    <mergeCell ref="H3:H4"/>
    <mergeCell ref="I3:I4"/>
    <mergeCell ref="J3:J4"/>
    <mergeCell ref="M3:M4"/>
    <mergeCell ref="N3:N4"/>
    <mergeCell ref="O3:O4"/>
    <mergeCell ref="P3:P4"/>
    <mergeCell ref="Q3:Q4"/>
    <mergeCell ref="N32:P32"/>
    <mergeCell ref="N33:P33"/>
    <mergeCell ref="N34:P34"/>
    <mergeCell ref="O41:O42"/>
    <mergeCell ref="P41:P42"/>
    <mergeCell ref="Q41:Q42"/>
    <mergeCell ref="A69:C69"/>
    <mergeCell ref="E41:E42"/>
    <mergeCell ref="F41:F42"/>
    <mergeCell ref="G41:G42"/>
    <mergeCell ref="H41:H42"/>
    <mergeCell ref="I41:I42"/>
    <mergeCell ref="J41:J42"/>
    <mergeCell ref="K41:K42"/>
    <mergeCell ref="L41:L42"/>
    <mergeCell ref="M41:M42"/>
    <mergeCell ref="N41:N42"/>
    <mergeCell ref="A41:A42"/>
    <mergeCell ref="B41:B42"/>
    <mergeCell ref="C41:C42"/>
    <mergeCell ref="D41:D42"/>
  </mergeCells>
  <pageMargins left="0.98425196850393704" right="0.59055118110236227" top="0.19685039370078741" bottom="0.19685039370078741" header="0.19685039370078741" footer="0.19685039370078741"/>
  <pageSetup paperSize="9" scale="90" orientation="landscape" horizontalDpi="4294967292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36CAE-8BE3-47B5-8033-D690FD7E6616}">
  <dimension ref="A1:T245"/>
  <sheetViews>
    <sheetView tabSelected="1" workbookViewId="0">
      <pane ySplit="1620" topLeftCell="A221" activePane="bottomLeft"/>
      <selection pane="bottomLeft" activeCell="F168" sqref="F168"/>
    </sheetView>
  </sheetViews>
  <sheetFormatPr defaultColWidth="9.140625" defaultRowHeight="15" customHeight="1" x14ac:dyDescent="0.25"/>
  <cols>
    <col min="1" max="1" width="3.7109375" style="5" customWidth="1"/>
    <col min="2" max="2" width="12" style="6" customWidth="1"/>
    <col min="3" max="3" width="7.42578125" style="6" customWidth="1"/>
    <col min="4" max="4" width="6" style="2" customWidth="1"/>
    <col min="5" max="5" width="7.5703125" style="2" customWidth="1"/>
    <col min="6" max="6" width="7" style="3" customWidth="1"/>
    <col min="7" max="7" width="8.28515625" style="4" customWidth="1"/>
    <col min="8" max="8" width="8.7109375" style="7" customWidth="1"/>
    <col min="9" max="9" width="5.7109375" style="7" customWidth="1"/>
    <col min="10" max="10" width="6" style="1" customWidth="1"/>
    <col min="11" max="11" width="7.85546875" style="1" customWidth="1"/>
    <col min="12" max="12" width="8.42578125" style="8" customWidth="1"/>
    <col min="13" max="13" width="10.42578125" style="8" customWidth="1"/>
    <col min="14" max="14" width="9.5703125" style="1" customWidth="1"/>
    <col min="15" max="16" width="9.85546875" style="1" customWidth="1"/>
    <col min="17" max="17" width="12.5703125" style="1" customWidth="1"/>
    <col min="18" max="18" width="12" style="5" bestFit="1" customWidth="1"/>
    <col min="19" max="19" width="9.140625" style="5"/>
    <col min="20" max="20" width="12" style="5" bestFit="1" customWidth="1"/>
    <col min="21" max="16384" width="9.140625" style="5"/>
  </cols>
  <sheetData>
    <row r="1" spans="1:19" ht="15" customHeight="1" x14ac:dyDescent="0.25">
      <c r="A1" s="8"/>
      <c r="B1" s="109" t="s">
        <v>0</v>
      </c>
      <c r="C1" s="9" t="s">
        <v>30</v>
      </c>
      <c r="D1" s="8"/>
      <c r="E1" s="9"/>
      <c r="F1" s="8"/>
      <c r="G1" s="8"/>
      <c r="H1" s="8"/>
      <c r="I1" s="9"/>
      <c r="J1" s="8"/>
      <c r="K1" s="8"/>
      <c r="N1" s="9" t="s">
        <v>2</v>
      </c>
      <c r="O1" s="76" t="s">
        <v>20</v>
      </c>
      <c r="P1" s="110">
        <f>37000+1000</f>
        <v>38000</v>
      </c>
      <c r="Q1" s="111" t="s">
        <v>24</v>
      </c>
    </row>
    <row r="2" spans="1:19" ht="15" customHeight="1" x14ac:dyDescent="0.25">
      <c r="A2" s="8"/>
      <c r="B2" s="109" t="s">
        <v>1</v>
      </c>
      <c r="C2" s="9" t="s">
        <v>29</v>
      </c>
      <c r="D2" s="8"/>
      <c r="E2" s="9"/>
      <c r="F2" s="109"/>
      <c r="G2" s="9"/>
      <c r="H2" s="8"/>
      <c r="I2" s="9"/>
      <c r="J2" s="9"/>
      <c r="K2" s="76"/>
      <c r="L2" s="110"/>
      <c r="M2" s="111"/>
      <c r="N2" s="9" t="s">
        <v>21</v>
      </c>
      <c r="O2" s="76" t="s">
        <v>20</v>
      </c>
      <c r="P2" s="110">
        <v>20200</v>
      </c>
      <c r="Q2" s="111" t="s">
        <v>23</v>
      </c>
      <c r="S2" s="5">
        <f>35000*1.05</f>
        <v>36750</v>
      </c>
    </row>
    <row r="3" spans="1:19" s="1" customFormat="1" ht="18" customHeight="1" x14ac:dyDescent="0.25">
      <c r="A3" s="157" t="s">
        <v>36</v>
      </c>
      <c r="B3" s="162" t="s">
        <v>3</v>
      </c>
      <c r="C3" s="162" t="s">
        <v>4</v>
      </c>
      <c r="D3" s="155" t="s">
        <v>5</v>
      </c>
      <c r="E3" s="155" t="s">
        <v>34</v>
      </c>
      <c r="F3" s="157" t="s">
        <v>6</v>
      </c>
      <c r="G3" s="159" t="s">
        <v>7</v>
      </c>
      <c r="H3" s="155" t="s">
        <v>8</v>
      </c>
      <c r="I3" s="161" t="s">
        <v>9</v>
      </c>
      <c r="J3" s="151" t="s">
        <v>10</v>
      </c>
      <c r="K3" s="151" t="s">
        <v>11</v>
      </c>
      <c r="L3" s="151" t="s">
        <v>12</v>
      </c>
      <c r="M3" s="151" t="s">
        <v>13</v>
      </c>
      <c r="N3" s="151" t="s">
        <v>14</v>
      </c>
      <c r="O3" s="151" t="s">
        <v>15</v>
      </c>
      <c r="P3" s="151" t="s">
        <v>16</v>
      </c>
      <c r="Q3" s="151" t="s">
        <v>17</v>
      </c>
    </row>
    <row r="4" spans="1:19" s="1" customFormat="1" ht="18" customHeight="1" x14ac:dyDescent="0.25">
      <c r="A4" s="158"/>
      <c r="B4" s="162"/>
      <c r="C4" s="162"/>
      <c r="D4" s="156"/>
      <c r="E4" s="156"/>
      <c r="F4" s="158"/>
      <c r="G4" s="160"/>
      <c r="H4" s="156"/>
      <c r="I4" s="161"/>
      <c r="J4" s="151"/>
      <c r="K4" s="151"/>
      <c r="L4" s="151"/>
      <c r="M4" s="151"/>
      <c r="N4" s="151"/>
      <c r="O4" s="151"/>
      <c r="P4" s="151"/>
      <c r="Q4" s="151"/>
    </row>
    <row r="5" spans="1:19" s="1" customFormat="1" ht="18" customHeight="1" x14ac:dyDescent="0.25">
      <c r="A5" s="27">
        <v>1</v>
      </c>
      <c r="B5" s="14">
        <v>45960</v>
      </c>
      <c r="C5" s="14" t="s">
        <v>25</v>
      </c>
      <c r="D5" s="15" t="s">
        <v>18</v>
      </c>
      <c r="E5" s="22">
        <v>0.2902777777777778</v>
      </c>
      <c r="F5" s="120">
        <v>45960.333333333336</v>
      </c>
      <c r="G5" s="120">
        <v>45960.708333333336</v>
      </c>
      <c r="H5" s="16">
        <v>1</v>
      </c>
      <c r="I5" s="17">
        <f>((G5-F5)*24)-H5</f>
        <v>8</v>
      </c>
      <c r="J5" s="18">
        <v>8</v>
      </c>
      <c r="K5" s="19">
        <f>I5-J5</f>
        <v>0</v>
      </c>
      <c r="L5" s="21">
        <v>0</v>
      </c>
      <c r="M5" s="10">
        <f>P2</f>
        <v>20200</v>
      </c>
      <c r="N5" s="20">
        <f>J5*M5</f>
        <v>161600</v>
      </c>
      <c r="O5" s="20">
        <f>L5*M5</f>
        <v>0</v>
      </c>
      <c r="P5" s="20">
        <f>P1</f>
        <v>38000</v>
      </c>
      <c r="Q5" s="20">
        <f t="shared" ref="Q5:Q27" si="0">N5+O5+P5</f>
        <v>199600</v>
      </c>
    </row>
    <row r="6" spans="1:19" s="1" customFormat="1" ht="18" customHeight="1" x14ac:dyDescent="0.25">
      <c r="A6" s="27">
        <v>2</v>
      </c>
      <c r="B6" s="14">
        <v>45961</v>
      </c>
      <c r="C6" s="14" t="s">
        <v>26</v>
      </c>
      <c r="D6" s="15" t="s">
        <v>18</v>
      </c>
      <c r="E6" s="22">
        <v>0.32847222222222222</v>
      </c>
      <c r="F6" s="120">
        <v>45961.333333333336</v>
      </c>
      <c r="G6" s="120">
        <v>45961.708333333336</v>
      </c>
      <c r="H6" s="16">
        <v>1</v>
      </c>
      <c r="I6" s="17">
        <f t="shared" ref="I6:I27" si="1">((G6-F6)*24)-H6</f>
        <v>8</v>
      </c>
      <c r="J6" s="18">
        <v>8</v>
      </c>
      <c r="K6" s="19">
        <f t="shared" ref="K6:K27" si="2">I6-J6</f>
        <v>0</v>
      </c>
      <c r="L6" s="21">
        <v>0</v>
      </c>
      <c r="M6" s="10">
        <f>P2</f>
        <v>20200</v>
      </c>
      <c r="N6" s="20">
        <f>J6*M6</f>
        <v>161600</v>
      </c>
      <c r="O6" s="20">
        <f t="shared" ref="O6:O27" si="3">L6*M6</f>
        <v>0</v>
      </c>
      <c r="P6" s="20">
        <f>P1</f>
        <v>38000</v>
      </c>
      <c r="Q6" s="20">
        <f t="shared" si="0"/>
        <v>199600</v>
      </c>
    </row>
    <row r="7" spans="1:19" s="1" customFormat="1" ht="18" customHeight="1" x14ac:dyDescent="0.25">
      <c r="A7" s="27">
        <v>3</v>
      </c>
      <c r="B7" s="14">
        <v>45964</v>
      </c>
      <c r="C7" s="14" t="s">
        <v>27</v>
      </c>
      <c r="D7" s="15" t="s">
        <v>18</v>
      </c>
      <c r="E7" s="22">
        <v>0.31388888888888888</v>
      </c>
      <c r="F7" s="120">
        <v>45964.333333333336</v>
      </c>
      <c r="G7" s="120">
        <v>45964.708333333336</v>
      </c>
      <c r="H7" s="16">
        <v>1</v>
      </c>
      <c r="I7" s="17">
        <f t="shared" si="1"/>
        <v>8</v>
      </c>
      <c r="J7" s="18">
        <v>8</v>
      </c>
      <c r="K7" s="19">
        <f t="shared" si="2"/>
        <v>0</v>
      </c>
      <c r="L7" s="21">
        <v>0</v>
      </c>
      <c r="M7" s="10">
        <f t="shared" ref="M7:M27" si="4">$P$2</f>
        <v>20200</v>
      </c>
      <c r="N7" s="20">
        <f>J7*M7</f>
        <v>161600</v>
      </c>
      <c r="O7" s="20">
        <f t="shared" si="3"/>
        <v>0</v>
      </c>
      <c r="P7" s="20">
        <f>P1</f>
        <v>38000</v>
      </c>
      <c r="Q7" s="20">
        <f t="shared" si="0"/>
        <v>199600</v>
      </c>
    </row>
    <row r="8" spans="1:19" s="1" customFormat="1" ht="18" customHeight="1" x14ac:dyDescent="0.25">
      <c r="A8" s="27">
        <v>4</v>
      </c>
      <c r="B8" s="14">
        <v>45965</v>
      </c>
      <c r="C8" s="14" t="s">
        <v>22</v>
      </c>
      <c r="D8" s="15" t="s">
        <v>18</v>
      </c>
      <c r="E8" s="22">
        <v>0.27916666666666667</v>
      </c>
      <c r="F8" s="120">
        <v>45965.333333333336</v>
      </c>
      <c r="G8" s="120">
        <v>45965.708333333336</v>
      </c>
      <c r="H8" s="16">
        <v>1</v>
      </c>
      <c r="I8" s="17">
        <f t="shared" si="1"/>
        <v>8</v>
      </c>
      <c r="J8" s="18">
        <v>8</v>
      </c>
      <c r="K8" s="19">
        <f t="shared" si="2"/>
        <v>0</v>
      </c>
      <c r="L8" s="21">
        <v>0</v>
      </c>
      <c r="M8" s="10">
        <f t="shared" si="4"/>
        <v>20200</v>
      </c>
      <c r="N8" s="20">
        <f>J8*M8</f>
        <v>161600</v>
      </c>
      <c r="O8" s="20">
        <f t="shared" si="3"/>
        <v>0</v>
      </c>
      <c r="P8" s="20">
        <f>P1</f>
        <v>38000</v>
      </c>
      <c r="Q8" s="20">
        <f t="shared" si="0"/>
        <v>199600</v>
      </c>
    </row>
    <row r="9" spans="1:19" s="1" customFormat="1" ht="18" customHeight="1" x14ac:dyDescent="0.25">
      <c r="A9" s="27">
        <v>5</v>
      </c>
      <c r="B9" s="14">
        <v>45966</v>
      </c>
      <c r="C9" s="14" t="s">
        <v>28</v>
      </c>
      <c r="D9" s="15" t="s">
        <v>18</v>
      </c>
      <c r="E9" s="22">
        <v>0.30486111111111114</v>
      </c>
      <c r="F9" s="120">
        <v>45966.333333333336</v>
      </c>
      <c r="G9" s="120">
        <v>45966.708333333336</v>
      </c>
      <c r="H9" s="16">
        <v>1</v>
      </c>
      <c r="I9" s="17">
        <f t="shared" si="1"/>
        <v>8</v>
      </c>
      <c r="J9" s="18">
        <v>8</v>
      </c>
      <c r="K9" s="19">
        <f t="shared" si="2"/>
        <v>0</v>
      </c>
      <c r="L9" s="21">
        <v>0</v>
      </c>
      <c r="M9" s="10">
        <f t="shared" si="4"/>
        <v>20200</v>
      </c>
      <c r="N9" s="20">
        <f t="shared" ref="N9:N27" si="5">J9*M9</f>
        <v>161600</v>
      </c>
      <c r="O9" s="20">
        <f t="shared" si="3"/>
        <v>0</v>
      </c>
      <c r="P9" s="20">
        <f>P1</f>
        <v>38000</v>
      </c>
      <c r="Q9" s="20">
        <f t="shared" si="0"/>
        <v>199600</v>
      </c>
    </row>
    <row r="10" spans="1:19" s="1" customFormat="1" ht="18" customHeight="1" x14ac:dyDescent="0.25">
      <c r="A10" s="27">
        <v>6</v>
      </c>
      <c r="B10" s="14">
        <v>45967</v>
      </c>
      <c r="C10" s="14" t="s">
        <v>25</v>
      </c>
      <c r="D10" s="15" t="s">
        <v>18</v>
      </c>
      <c r="E10" s="22">
        <v>0.2951388888888889</v>
      </c>
      <c r="F10" s="120">
        <v>45967.333333333336</v>
      </c>
      <c r="G10" s="120">
        <v>45967.708333333336</v>
      </c>
      <c r="H10" s="16">
        <v>1</v>
      </c>
      <c r="I10" s="17">
        <f t="shared" si="1"/>
        <v>8</v>
      </c>
      <c r="J10" s="18">
        <v>8</v>
      </c>
      <c r="K10" s="19">
        <f t="shared" si="2"/>
        <v>0</v>
      </c>
      <c r="L10" s="21">
        <v>0</v>
      </c>
      <c r="M10" s="10">
        <f t="shared" si="4"/>
        <v>20200</v>
      </c>
      <c r="N10" s="20">
        <f t="shared" si="5"/>
        <v>161600</v>
      </c>
      <c r="O10" s="20">
        <f t="shared" si="3"/>
        <v>0</v>
      </c>
      <c r="P10" s="20">
        <f>P1</f>
        <v>38000</v>
      </c>
      <c r="Q10" s="20">
        <f t="shared" si="0"/>
        <v>199600</v>
      </c>
    </row>
    <row r="11" spans="1:19" s="1" customFormat="1" ht="18" customHeight="1" x14ac:dyDescent="0.25">
      <c r="A11" s="27">
        <v>7</v>
      </c>
      <c r="B11" s="14">
        <v>45968</v>
      </c>
      <c r="C11" s="14" t="s">
        <v>26</v>
      </c>
      <c r="D11" s="15" t="s">
        <v>18</v>
      </c>
      <c r="E11" s="22">
        <v>0.2951388888888889</v>
      </c>
      <c r="F11" s="120">
        <v>45968.333333333336</v>
      </c>
      <c r="G11" s="120">
        <v>45968.916666666664</v>
      </c>
      <c r="H11" s="16">
        <v>2</v>
      </c>
      <c r="I11" s="17">
        <f t="shared" si="1"/>
        <v>11.999999999883585</v>
      </c>
      <c r="J11" s="18">
        <v>8</v>
      </c>
      <c r="K11" s="19">
        <f t="shared" si="2"/>
        <v>3.9999999998835847</v>
      </c>
      <c r="L11" s="21">
        <f>K11*2-0.5</f>
        <v>7.4999999997671694</v>
      </c>
      <c r="M11" s="10">
        <f t="shared" si="4"/>
        <v>20200</v>
      </c>
      <c r="N11" s="20">
        <f t="shared" si="5"/>
        <v>161600</v>
      </c>
      <c r="O11" s="20">
        <f t="shared" si="3"/>
        <v>151499.99999529682</v>
      </c>
      <c r="P11" s="20">
        <f>P1</f>
        <v>38000</v>
      </c>
      <c r="Q11" s="20">
        <f t="shared" si="0"/>
        <v>351099.99999529682</v>
      </c>
    </row>
    <row r="12" spans="1:19" s="1" customFormat="1" ht="18" customHeight="1" x14ac:dyDescent="0.25">
      <c r="A12" s="27">
        <v>8</v>
      </c>
      <c r="B12" s="14">
        <v>45969</v>
      </c>
      <c r="C12" s="14" t="s">
        <v>57</v>
      </c>
      <c r="D12" s="15" t="s">
        <v>18</v>
      </c>
      <c r="E12" s="22">
        <v>0.27291666666666664</v>
      </c>
      <c r="F12" s="120">
        <v>45969.333333333336</v>
      </c>
      <c r="G12" s="120">
        <v>45969.916666666664</v>
      </c>
      <c r="H12" s="16">
        <v>2</v>
      </c>
      <c r="I12" s="17">
        <f t="shared" si="1"/>
        <v>11.999999999883585</v>
      </c>
      <c r="J12" s="18">
        <v>5</v>
      </c>
      <c r="K12" s="19">
        <f t="shared" si="2"/>
        <v>6.9999999998835847</v>
      </c>
      <c r="L12" s="21">
        <f>K12*2-0.5</f>
        <v>13.499999999767169</v>
      </c>
      <c r="M12" s="10">
        <f t="shared" si="4"/>
        <v>20200</v>
      </c>
      <c r="N12" s="20">
        <f t="shared" si="5"/>
        <v>101000</v>
      </c>
      <c r="O12" s="20">
        <f t="shared" si="3"/>
        <v>272699.99999529682</v>
      </c>
      <c r="P12" s="20">
        <f>P1</f>
        <v>38000</v>
      </c>
      <c r="Q12" s="20">
        <f t="shared" si="0"/>
        <v>411699.99999529682</v>
      </c>
    </row>
    <row r="13" spans="1:19" s="1" customFormat="1" ht="18" customHeight="1" x14ac:dyDescent="0.25">
      <c r="A13" s="139">
        <v>9</v>
      </c>
      <c r="B13" s="140">
        <v>45970</v>
      </c>
      <c r="C13" s="140" t="s">
        <v>54</v>
      </c>
      <c r="D13" s="141" t="s">
        <v>18</v>
      </c>
      <c r="E13" s="142">
        <v>0.29166666666666669</v>
      </c>
      <c r="F13" s="143">
        <v>45970.333333333336</v>
      </c>
      <c r="G13" s="143">
        <v>45970.916666666664</v>
      </c>
      <c r="H13" s="144">
        <v>2</v>
      </c>
      <c r="I13" s="145">
        <f t="shared" si="1"/>
        <v>11.999999999883585</v>
      </c>
      <c r="J13" s="146">
        <v>0</v>
      </c>
      <c r="K13" s="147">
        <f t="shared" si="2"/>
        <v>11.999999999883585</v>
      </c>
      <c r="L13" s="148">
        <f>K13*2</f>
        <v>23.999999999767169</v>
      </c>
      <c r="M13" s="149">
        <f t="shared" si="4"/>
        <v>20200</v>
      </c>
      <c r="N13" s="150">
        <f t="shared" si="5"/>
        <v>0</v>
      </c>
      <c r="O13" s="150">
        <f t="shared" si="3"/>
        <v>484799.99999529682</v>
      </c>
      <c r="P13" s="150">
        <f>P1</f>
        <v>38000</v>
      </c>
      <c r="Q13" s="150">
        <f t="shared" si="0"/>
        <v>522799.99999529682</v>
      </c>
    </row>
    <row r="14" spans="1:19" s="1" customFormat="1" ht="18" customHeight="1" x14ac:dyDescent="0.25">
      <c r="A14" s="27">
        <v>10</v>
      </c>
      <c r="B14" s="14">
        <v>45971</v>
      </c>
      <c r="C14" s="14" t="s">
        <v>27</v>
      </c>
      <c r="D14" s="15" t="s">
        <v>18</v>
      </c>
      <c r="E14" s="22">
        <v>0.28819444444444442</v>
      </c>
      <c r="F14" s="120">
        <v>45971.333333333336</v>
      </c>
      <c r="G14" s="120">
        <v>45971.916666666664</v>
      </c>
      <c r="H14" s="16">
        <v>2</v>
      </c>
      <c r="I14" s="17">
        <f t="shared" si="1"/>
        <v>11.999999999883585</v>
      </c>
      <c r="J14" s="18">
        <v>8</v>
      </c>
      <c r="K14" s="19">
        <f t="shared" si="2"/>
        <v>3.9999999998835847</v>
      </c>
      <c r="L14" s="21">
        <f>K14*2-0.5</f>
        <v>7.4999999997671694</v>
      </c>
      <c r="M14" s="10">
        <f t="shared" si="4"/>
        <v>20200</v>
      </c>
      <c r="N14" s="20">
        <f t="shared" si="5"/>
        <v>161600</v>
      </c>
      <c r="O14" s="20">
        <f t="shared" si="3"/>
        <v>151499.99999529682</v>
      </c>
      <c r="P14" s="20">
        <f>P1</f>
        <v>38000</v>
      </c>
      <c r="Q14" s="20">
        <f t="shared" si="0"/>
        <v>351099.99999529682</v>
      </c>
    </row>
    <row r="15" spans="1:19" s="1" customFormat="1" ht="18" customHeight="1" x14ac:dyDescent="0.25">
      <c r="A15" s="27">
        <v>11</v>
      </c>
      <c r="B15" s="14">
        <v>45972</v>
      </c>
      <c r="C15" s="14" t="s">
        <v>22</v>
      </c>
      <c r="D15" s="15" t="s">
        <v>18</v>
      </c>
      <c r="E15" s="22">
        <v>0.29375000000000001</v>
      </c>
      <c r="F15" s="120">
        <v>45972.333333333336</v>
      </c>
      <c r="G15" s="120">
        <v>45972.916666666664</v>
      </c>
      <c r="H15" s="16">
        <v>2</v>
      </c>
      <c r="I15" s="17">
        <f t="shared" si="1"/>
        <v>11.999999999883585</v>
      </c>
      <c r="J15" s="18">
        <v>8</v>
      </c>
      <c r="K15" s="19">
        <f t="shared" si="2"/>
        <v>3.9999999998835847</v>
      </c>
      <c r="L15" s="21">
        <f>K15*2-0.5</f>
        <v>7.4999999997671694</v>
      </c>
      <c r="M15" s="10">
        <f t="shared" si="4"/>
        <v>20200</v>
      </c>
      <c r="N15" s="20">
        <f t="shared" si="5"/>
        <v>161600</v>
      </c>
      <c r="O15" s="20">
        <f t="shared" si="3"/>
        <v>151499.99999529682</v>
      </c>
      <c r="P15" s="20">
        <f>P1</f>
        <v>38000</v>
      </c>
      <c r="Q15" s="20">
        <f t="shared" si="0"/>
        <v>351099.99999529682</v>
      </c>
    </row>
    <row r="16" spans="1:19" s="1" customFormat="1" ht="18" customHeight="1" x14ac:dyDescent="0.25">
      <c r="A16" s="27">
        <v>12</v>
      </c>
      <c r="B16" s="14">
        <v>45973</v>
      </c>
      <c r="C16" s="14" t="s">
        <v>28</v>
      </c>
      <c r="D16" s="15" t="s">
        <v>18</v>
      </c>
      <c r="E16" s="22">
        <v>0.30763888888888891</v>
      </c>
      <c r="F16" s="120">
        <v>45973.333333333336</v>
      </c>
      <c r="G16" s="120">
        <v>45973.708333333336</v>
      </c>
      <c r="H16" s="16">
        <v>1</v>
      </c>
      <c r="I16" s="17">
        <f t="shared" si="1"/>
        <v>8</v>
      </c>
      <c r="J16" s="18">
        <v>8</v>
      </c>
      <c r="K16" s="19">
        <f t="shared" si="2"/>
        <v>0</v>
      </c>
      <c r="L16" s="21">
        <v>0</v>
      </c>
      <c r="M16" s="10">
        <f t="shared" si="4"/>
        <v>20200</v>
      </c>
      <c r="N16" s="20">
        <f t="shared" si="5"/>
        <v>161600</v>
      </c>
      <c r="O16" s="20">
        <f t="shared" si="3"/>
        <v>0</v>
      </c>
      <c r="P16" s="20">
        <f>P1</f>
        <v>38000</v>
      </c>
      <c r="Q16" s="20">
        <f t="shared" si="0"/>
        <v>199600</v>
      </c>
    </row>
    <row r="17" spans="1:19" s="1" customFormat="1" ht="18" customHeight="1" x14ac:dyDescent="0.25">
      <c r="A17" s="27">
        <v>13</v>
      </c>
      <c r="B17" s="14">
        <v>45974</v>
      </c>
      <c r="C17" s="14" t="s">
        <v>25</v>
      </c>
      <c r="D17" s="15" t="s">
        <v>18</v>
      </c>
      <c r="E17" s="22">
        <v>0.27708333333333335</v>
      </c>
      <c r="F17" s="120">
        <v>45974.333333333336</v>
      </c>
      <c r="G17" s="120">
        <v>45974.708333333336</v>
      </c>
      <c r="H17" s="16">
        <v>1</v>
      </c>
      <c r="I17" s="17">
        <f>((G17-F17)*24)-H17</f>
        <v>8</v>
      </c>
      <c r="J17" s="18">
        <v>8</v>
      </c>
      <c r="K17" s="19">
        <f t="shared" si="2"/>
        <v>0</v>
      </c>
      <c r="L17" s="21">
        <v>0</v>
      </c>
      <c r="M17" s="10">
        <f t="shared" si="4"/>
        <v>20200</v>
      </c>
      <c r="N17" s="20">
        <f t="shared" si="5"/>
        <v>161600</v>
      </c>
      <c r="O17" s="20">
        <f t="shared" ref="O17:O24" si="6">L17*M17</f>
        <v>0</v>
      </c>
      <c r="P17" s="20">
        <f>P1</f>
        <v>38000</v>
      </c>
      <c r="Q17" s="20">
        <f t="shared" si="0"/>
        <v>199600</v>
      </c>
    </row>
    <row r="18" spans="1:19" s="1" customFormat="1" ht="18" customHeight="1" x14ac:dyDescent="0.25">
      <c r="A18" s="27">
        <v>14</v>
      </c>
      <c r="B18" s="14">
        <v>45975</v>
      </c>
      <c r="C18" s="14" t="s">
        <v>26</v>
      </c>
      <c r="D18" s="15" t="s">
        <v>18</v>
      </c>
      <c r="E18" s="22">
        <v>0.2951388888888889</v>
      </c>
      <c r="F18" s="120">
        <v>45975.333333333336</v>
      </c>
      <c r="G18" s="120">
        <v>45975.708333333336</v>
      </c>
      <c r="H18" s="16">
        <v>1</v>
      </c>
      <c r="I18" s="17">
        <f t="shared" ref="I18:I24" si="7">((G18-F18)*24)-H18</f>
        <v>8</v>
      </c>
      <c r="J18" s="18">
        <v>8</v>
      </c>
      <c r="K18" s="19">
        <f t="shared" ref="K18:K24" si="8">I18-J18</f>
        <v>0</v>
      </c>
      <c r="L18" s="21">
        <v>0</v>
      </c>
      <c r="M18" s="10">
        <f t="shared" si="4"/>
        <v>20200</v>
      </c>
      <c r="N18" s="20">
        <f t="shared" ref="N18:N24" si="9">J18*M18</f>
        <v>161600</v>
      </c>
      <c r="O18" s="20">
        <f t="shared" si="6"/>
        <v>0</v>
      </c>
      <c r="P18" s="20">
        <f>P1</f>
        <v>38000</v>
      </c>
      <c r="Q18" s="20">
        <f t="shared" ref="Q18:Q24" si="10">N18+O18+P18</f>
        <v>199600</v>
      </c>
    </row>
    <row r="19" spans="1:19" s="1" customFormat="1" ht="18" customHeight="1" x14ac:dyDescent="0.25">
      <c r="A19" s="27">
        <v>15</v>
      </c>
      <c r="B19" s="14">
        <v>45978</v>
      </c>
      <c r="C19" s="14" t="s">
        <v>27</v>
      </c>
      <c r="D19" s="15" t="s">
        <v>18</v>
      </c>
      <c r="E19" s="22">
        <v>0.29444444444444445</v>
      </c>
      <c r="F19" s="120">
        <v>45978.333333333336</v>
      </c>
      <c r="G19" s="120">
        <v>45978.708333333336</v>
      </c>
      <c r="H19" s="16">
        <v>1</v>
      </c>
      <c r="I19" s="17">
        <f t="shared" si="7"/>
        <v>8</v>
      </c>
      <c r="J19" s="18">
        <v>8</v>
      </c>
      <c r="K19" s="19">
        <f t="shared" si="8"/>
        <v>0</v>
      </c>
      <c r="L19" s="21">
        <v>0</v>
      </c>
      <c r="M19" s="10">
        <f t="shared" si="4"/>
        <v>20200</v>
      </c>
      <c r="N19" s="20">
        <f t="shared" si="9"/>
        <v>161600</v>
      </c>
      <c r="O19" s="20">
        <f t="shared" si="6"/>
        <v>0</v>
      </c>
      <c r="P19" s="20">
        <f>P1</f>
        <v>38000</v>
      </c>
      <c r="Q19" s="20">
        <f t="shared" si="10"/>
        <v>199600</v>
      </c>
    </row>
    <row r="20" spans="1:19" s="1" customFormat="1" ht="18" customHeight="1" x14ac:dyDescent="0.25">
      <c r="A20" s="27">
        <v>16</v>
      </c>
      <c r="B20" s="14">
        <v>45979</v>
      </c>
      <c r="C20" s="14" t="s">
        <v>22</v>
      </c>
      <c r="D20" s="15" t="s">
        <v>18</v>
      </c>
      <c r="E20" s="22">
        <v>0.30208333333333331</v>
      </c>
      <c r="F20" s="120">
        <v>45979.333333333336</v>
      </c>
      <c r="G20" s="120">
        <v>45979.708333333336</v>
      </c>
      <c r="H20" s="16">
        <v>1</v>
      </c>
      <c r="I20" s="17">
        <f t="shared" ref="I20" si="11">((G20-F20)*24)-H20</f>
        <v>8</v>
      </c>
      <c r="J20" s="18">
        <v>8</v>
      </c>
      <c r="K20" s="19">
        <f t="shared" ref="K20" si="12">I20-J20</f>
        <v>0</v>
      </c>
      <c r="L20" s="21">
        <v>0</v>
      </c>
      <c r="M20" s="10">
        <f t="shared" si="4"/>
        <v>20200</v>
      </c>
      <c r="N20" s="20">
        <f>J20*M20</f>
        <v>161600</v>
      </c>
      <c r="O20" s="20">
        <f t="shared" si="6"/>
        <v>0</v>
      </c>
      <c r="P20" s="20">
        <f>P1</f>
        <v>38000</v>
      </c>
      <c r="Q20" s="20">
        <f t="shared" ref="Q20" si="13">N20+O20+P20</f>
        <v>199600</v>
      </c>
    </row>
    <row r="21" spans="1:19" s="1" customFormat="1" ht="18" customHeight="1" x14ac:dyDescent="0.25">
      <c r="A21" s="27">
        <v>17</v>
      </c>
      <c r="B21" s="14">
        <v>45980</v>
      </c>
      <c r="C21" s="14" t="s">
        <v>28</v>
      </c>
      <c r="D21" s="15" t="s">
        <v>18</v>
      </c>
      <c r="E21" s="22">
        <v>0.29097222222222224</v>
      </c>
      <c r="F21" s="120">
        <v>45980.333333333336</v>
      </c>
      <c r="G21" s="120">
        <v>45980.708333333336</v>
      </c>
      <c r="H21" s="16">
        <v>1</v>
      </c>
      <c r="I21" s="17">
        <f t="shared" ref="I21" si="14">((G21-F21)*24)-H21</f>
        <v>8</v>
      </c>
      <c r="J21" s="18">
        <v>8</v>
      </c>
      <c r="K21" s="19">
        <f t="shared" ref="K21" si="15">I21-J21</f>
        <v>0</v>
      </c>
      <c r="L21" s="21">
        <v>0</v>
      </c>
      <c r="M21" s="10">
        <f t="shared" si="4"/>
        <v>20200</v>
      </c>
      <c r="N21" s="20">
        <f>J21*M21</f>
        <v>161600</v>
      </c>
      <c r="O21" s="20">
        <f t="shared" si="6"/>
        <v>0</v>
      </c>
      <c r="P21" s="20">
        <f>P1</f>
        <v>38000</v>
      </c>
      <c r="Q21" s="20">
        <f t="shared" ref="Q21" si="16">N21+O21+P21</f>
        <v>199600</v>
      </c>
    </row>
    <row r="22" spans="1:19" s="1" customFormat="1" ht="18" customHeight="1" x14ac:dyDescent="0.25">
      <c r="A22" s="27">
        <v>18</v>
      </c>
      <c r="B22" s="14">
        <v>45981</v>
      </c>
      <c r="C22" s="14" t="s">
        <v>25</v>
      </c>
      <c r="D22" s="15" t="s">
        <v>18</v>
      </c>
      <c r="E22" s="22">
        <v>0.2951388888888889</v>
      </c>
      <c r="F22" s="120">
        <v>45981.333333333336</v>
      </c>
      <c r="G22" s="120">
        <v>45981.708333333336</v>
      </c>
      <c r="H22" s="16">
        <v>1</v>
      </c>
      <c r="I22" s="17">
        <f t="shared" ref="I22" si="17">((G22-F22)*24)-H22</f>
        <v>8</v>
      </c>
      <c r="J22" s="18">
        <v>8</v>
      </c>
      <c r="K22" s="19">
        <f t="shared" ref="K22" si="18">I22-J22</f>
        <v>0</v>
      </c>
      <c r="L22" s="21">
        <v>0</v>
      </c>
      <c r="M22" s="10">
        <f t="shared" si="4"/>
        <v>20200</v>
      </c>
      <c r="N22" s="20">
        <f>J22*M22</f>
        <v>161600</v>
      </c>
      <c r="O22" s="20">
        <f t="shared" si="6"/>
        <v>0</v>
      </c>
      <c r="P22" s="20">
        <f>P1</f>
        <v>38000</v>
      </c>
      <c r="Q22" s="20">
        <f t="shared" ref="Q22" si="19">N22+O22+P22</f>
        <v>199600</v>
      </c>
      <c r="S22" s="1" t="s">
        <v>59</v>
      </c>
    </row>
    <row r="23" spans="1:19" s="1" customFormat="1" ht="18" customHeight="1" x14ac:dyDescent="0.25">
      <c r="A23" s="27">
        <v>19</v>
      </c>
      <c r="B23" s="14">
        <v>45982</v>
      </c>
      <c r="C23" s="14" t="s">
        <v>26</v>
      </c>
      <c r="D23" s="15" t="s">
        <v>18</v>
      </c>
      <c r="E23" s="22">
        <v>0.29583333333333334</v>
      </c>
      <c r="F23" s="120">
        <v>45982.333333333336</v>
      </c>
      <c r="G23" s="120">
        <v>45982.708333333336</v>
      </c>
      <c r="H23" s="16">
        <v>1</v>
      </c>
      <c r="I23" s="17">
        <f t="shared" ref="I23" si="20">((G23-F23)*24)-H23</f>
        <v>8</v>
      </c>
      <c r="J23" s="18">
        <v>8</v>
      </c>
      <c r="K23" s="19">
        <f t="shared" ref="K23" si="21">I23-J23</f>
        <v>0</v>
      </c>
      <c r="L23" s="21">
        <v>0</v>
      </c>
      <c r="M23" s="10">
        <f t="shared" si="4"/>
        <v>20200</v>
      </c>
      <c r="N23" s="20">
        <f>J23*M23</f>
        <v>161600</v>
      </c>
      <c r="O23" s="20">
        <f t="shared" ref="O23" si="22">L23*M23</f>
        <v>0</v>
      </c>
      <c r="P23" s="20">
        <f>P1</f>
        <v>38000</v>
      </c>
      <c r="Q23" s="20">
        <f t="shared" ref="Q23" si="23">N23+O23+P23</f>
        <v>199600</v>
      </c>
    </row>
    <row r="24" spans="1:19" s="1" customFormat="1" ht="18" customHeight="1" x14ac:dyDescent="0.25">
      <c r="A24" s="27">
        <v>20</v>
      </c>
      <c r="B24" s="14">
        <v>45985</v>
      </c>
      <c r="C24" s="14" t="s">
        <v>27</v>
      </c>
      <c r="D24" s="15" t="s">
        <v>18</v>
      </c>
      <c r="E24" s="22">
        <v>0.2951388888888889</v>
      </c>
      <c r="F24" s="120">
        <v>45985.333333333336</v>
      </c>
      <c r="G24" s="120">
        <v>45985.708333333336</v>
      </c>
      <c r="H24" s="16">
        <v>1</v>
      </c>
      <c r="I24" s="17">
        <f t="shared" si="7"/>
        <v>8</v>
      </c>
      <c r="J24" s="18">
        <v>8</v>
      </c>
      <c r="K24" s="19">
        <f t="shared" si="8"/>
        <v>0</v>
      </c>
      <c r="L24" s="21">
        <v>0</v>
      </c>
      <c r="M24" s="10">
        <f t="shared" si="4"/>
        <v>20200</v>
      </c>
      <c r="N24" s="20">
        <f t="shared" si="9"/>
        <v>161600</v>
      </c>
      <c r="O24" s="20">
        <f t="shared" si="6"/>
        <v>0</v>
      </c>
      <c r="P24" s="20">
        <f>P1</f>
        <v>38000</v>
      </c>
      <c r="Q24" s="20">
        <f t="shared" si="10"/>
        <v>199600</v>
      </c>
    </row>
    <row r="25" spans="1:19" s="1" customFormat="1" ht="18" customHeight="1" x14ac:dyDescent="0.25">
      <c r="A25" s="27">
        <v>21</v>
      </c>
      <c r="B25" s="14">
        <v>45986</v>
      </c>
      <c r="C25" s="14" t="s">
        <v>22</v>
      </c>
      <c r="D25" s="15" t="s">
        <v>18</v>
      </c>
      <c r="E25" s="22">
        <v>0.32708333333333334</v>
      </c>
      <c r="F25" s="120">
        <v>45986.333333333336</v>
      </c>
      <c r="G25" s="120">
        <v>45986.708333333336</v>
      </c>
      <c r="H25" s="16">
        <v>1</v>
      </c>
      <c r="I25" s="17">
        <f t="shared" ref="I25:I26" si="24">((G25-F25)*24)-H25</f>
        <v>8</v>
      </c>
      <c r="J25" s="18">
        <v>8</v>
      </c>
      <c r="K25" s="19">
        <f t="shared" ref="K25:K26" si="25">I25-J25</f>
        <v>0</v>
      </c>
      <c r="L25" s="21">
        <v>0</v>
      </c>
      <c r="M25" s="10">
        <f t="shared" si="4"/>
        <v>20200</v>
      </c>
      <c r="N25" s="20">
        <f t="shared" ref="N25:N26" si="26">J25*M25</f>
        <v>161600</v>
      </c>
      <c r="O25" s="20">
        <f t="shared" ref="O25:O26" si="27">L25*M25</f>
        <v>0</v>
      </c>
      <c r="P25" s="20">
        <f>P1</f>
        <v>38000</v>
      </c>
      <c r="Q25" s="20">
        <f t="shared" ref="Q25:Q26" si="28">N25+O25+P25</f>
        <v>199600</v>
      </c>
    </row>
    <row r="26" spans="1:19" s="1" customFormat="1" ht="18" customHeight="1" x14ac:dyDescent="0.25">
      <c r="A26" s="27">
        <v>22</v>
      </c>
      <c r="B26" s="14">
        <v>45987</v>
      </c>
      <c r="C26" s="14" t="s">
        <v>28</v>
      </c>
      <c r="D26" s="15" t="s">
        <v>18</v>
      </c>
      <c r="E26" s="22">
        <v>0.32847222222222222</v>
      </c>
      <c r="F26" s="120">
        <v>45987.333333333336</v>
      </c>
      <c r="G26" s="120">
        <v>45987.708333333336</v>
      </c>
      <c r="H26" s="16">
        <v>1</v>
      </c>
      <c r="I26" s="17">
        <f t="shared" si="24"/>
        <v>8</v>
      </c>
      <c r="J26" s="18">
        <v>8</v>
      </c>
      <c r="K26" s="19">
        <f t="shared" si="25"/>
        <v>0</v>
      </c>
      <c r="L26" s="21">
        <v>0</v>
      </c>
      <c r="M26" s="10">
        <f t="shared" si="4"/>
        <v>20200</v>
      </c>
      <c r="N26" s="20">
        <f t="shared" si="26"/>
        <v>161600</v>
      </c>
      <c r="O26" s="20">
        <f t="shared" si="27"/>
        <v>0</v>
      </c>
      <c r="P26" s="20">
        <f>P1</f>
        <v>38000</v>
      </c>
      <c r="Q26" s="20">
        <f t="shared" si="28"/>
        <v>199600</v>
      </c>
    </row>
    <row r="27" spans="1:19" s="1" customFormat="1" ht="18" customHeight="1" x14ac:dyDescent="0.25">
      <c r="A27" s="27">
        <v>23</v>
      </c>
      <c r="B27" s="14">
        <v>45988</v>
      </c>
      <c r="C27" s="14" t="s">
        <v>25</v>
      </c>
      <c r="D27" s="15" t="s">
        <v>18</v>
      </c>
      <c r="E27" s="22">
        <v>0.28958333333333336</v>
      </c>
      <c r="F27" s="120">
        <v>45988.333333333336</v>
      </c>
      <c r="G27" s="120">
        <v>45988.708333333336</v>
      </c>
      <c r="H27" s="16">
        <v>1</v>
      </c>
      <c r="I27" s="17">
        <f t="shared" si="1"/>
        <v>8</v>
      </c>
      <c r="J27" s="18">
        <v>8</v>
      </c>
      <c r="K27" s="19">
        <f t="shared" si="2"/>
        <v>0</v>
      </c>
      <c r="L27" s="21">
        <v>0</v>
      </c>
      <c r="M27" s="10">
        <f t="shared" si="4"/>
        <v>20200</v>
      </c>
      <c r="N27" s="20">
        <f t="shared" si="5"/>
        <v>161600</v>
      </c>
      <c r="O27" s="20">
        <f t="shared" si="3"/>
        <v>0</v>
      </c>
      <c r="P27" s="20">
        <f>P1</f>
        <v>38000</v>
      </c>
      <c r="Q27" s="20">
        <f t="shared" si="0"/>
        <v>199600</v>
      </c>
    </row>
    <row r="28" spans="1:19" ht="15" customHeight="1" x14ac:dyDescent="0.25">
      <c r="A28" s="152" t="s">
        <v>19</v>
      </c>
      <c r="B28" s="153"/>
      <c r="C28" s="154"/>
      <c r="D28" s="36"/>
      <c r="E28" s="36"/>
      <c r="F28" s="63"/>
      <c r="G28" s="63"/>
      <c r="H28" s="37"/>
      <c r="I28" s="38"/>
      <c r="J28" s="12"/>
      <c r="K28" s="12"/>
      <c r="L28" s="11"/>
      <c r="M28" s="12"/>
      <c r="N28" s="12">
        <f>SUM(N5:N27)</f>
        <v>3494600</v>
      </c>
      <c r="O28" s="12">
        <f>SUM(O5:O27)</f>
        <v>1211999.9999764841</v>
      </c>
      <c r="P28" s="12">
        <f>SUM(P5:P27)</f>
        <v>874000</v>
      </c>
      <c r="Q28" s="12">
        <f>SUM(Q5:Q27)</f>
        <v>5580599.9999764841</v>
      </c>
      <c r="R28" s="13"/>
    </row>
    <row r="29" spans="1:19" ht="15" customHeight="1" x14ac:dyDescent="0.25">
      <c r="A29" s="8"/>
      <c r="B29" s="39"/>
      <c r="C29" s="39"/>
      <c r="D29" s="40"/>
      <c r="E29" s="40"/>
      <c r="F29" s="76"/>
      <c r="G29" s="41"/>
      <c r="H29" s="114"/>
      <c r="I29" s="114"/>
      <c r="J29" s="9"/>
      <c r="K29" s="9"/>
      <c r="L29" s="9"/>
      <c r="M29" s="9"/>
      <c r="N29" s="257" t="s">
        <v>55</v>
      </c>
      <c r="O29" s="258"/>
      <c r="P29" s="259"/>
      <c r="Q29" s="23">
        <f>(2200000/30)*30</f>
        <v>2200000</v>
      </c>
    </row>
    <row r="30" spans="1:19" ht="15" customHeight="1" x14ac:dyDescent="0.25">
      <c r="A30" s="8"/>
      <c r="B30" s="39"/>
      <c r="C30" s="39"/>
      <c r="D30" s="40"/>
      <c r="E30" s="40"/>
      <c r="F30" s="76"/>
      <c r="G30" s="41"/>
      <c r="H30" s="114"/>
      <c r="I30" s="192" t="s">
        <v>47</v>
      </c>
      <c r="J30" s="193"/>
      <c r="K30" s="194"/>
      <c r="L30" s="195">
        <v>0</v>
      </c>
      <c r="M30" s="196"/>
      <c r="N30" s="200" t="s">
        <v>19</v>
      </c>
      <c r="O30" s="201"/>
      <c r="P30" s="202"/>
      <c r="Q30" s="42">
        <f>SUM(Q28:Q29)</f>
        <v>7780599.9999764841</v>
      </c>
    </row>
    <row r="31" spans="1:19" ht="15" customHeight="1" x14ac:dyDescent="0.25">
      <c r="A31" s="8"/>
      <c r="B31" s="39"/>
      <c r="C31" s="39"/>
      <c r="D31" s="40"/>
      <c r="E31" s="40"/>
      <c r="F31" s="76"/>
      <c r="G31" s="41"/>
      <c r="H31" s="114"/>
      <c r="I31" s="179" t="s">
        <v>49</v>
      </c>
      <c r="J31" s="180"/>
      <c r="K31" s="181"/>
      <c r="L31" s="182">
        <f>L30*0.025</f>
        <v>0</v>
      </c>
      <c r="M31" s="183"/>
      <c r="N31" s="257" t="s">
        <v>38</v>
      </c>
      <c r="O31" s="258"/>
      <c r="P31" s="259"/>
      <c r="Q31" s="23">
        <v>60000</v>
      </c>
    </row>
    <row r="32" spans="1:19" ht="15" customHeight="1" x14ac:dyDescent="0.25">
      <c r="A32" s="8"/>
      <c r="B32" s="39"/>
      <c r="C32" s="39"/>
      <c r="D32" s="40"/>
      <c r="E32" s="40"/>
      <c r="F32" s="76"/>
      <c r="G32" s="41"/>
      <c r="H32" s="114"/>
      <c r="I32" s="171" t="s">
        <v>50</v>
      </c>
      <c r="J32" s="172"/>
      <c r="K32" s="173"/>
      <c r="L32" s="174">
        <f>SUM(L30:L31)</f>
        <v>0</v>
      </c>
      <c r="M32" s="175"/>
      <c r="N32" s="211" t="s">
        <v>37</v>
      </c>
      <c r="O32" s="212"/>
      <c r="P32" s="213"/>
      <c r="Q32" s="89">
        <f>5219263*0.01</f>
        <v>52192.630000000005</v>
      </c>
    </row>
    <row r="33" spans="1:20" ht="15" customHeight="1" x14ac:dyDescent="0.25">
      <c r="A33" s="9"/>
      <c r="B33" s="39"/>
      <c r="C33" s="39"/>
      <c r="D33" s="40"/>
      <c r="E33" s="40"/>
      <c r="F33" s="76"/>
      <c r="G33" s="41"/>
      <c r="H33" s="114"/>
      <c r="I33" s="165" t="s">
        <v>61</v>
      </c>
      <c r="J33" s="166"/>
      <c r="K33" s="167"/>
      <c r="L33" s="168">
        <v>0</v>
      </c>
      <c r="M33" s="169"/>
      <c r="N33" s="257" t="s">
        <v>46</v>
      </c>
      <c r="O33" s="258"/>
      <c r="P33" s="259"/>
      <c r="Q33" s="23">
        <v>300000</v>
      </c>
    </row>
    <row r="34" spans="1:20" ht="15" customHeight="1" x14ac:dyDescent="0.25">
      <c r="A34" s="9"/>
      <c r="B34" s="39"/>
      <c r="C34" s="39"/>
      <c r="D34" s="40"/>
      <c r="E34" s="40"/>
      <c r="F34" s="76"/>
      <c r="G34" s="41"/>
      <c r="H34" s="114"/>
      <c r="I34" s="171" t="s">
        <v>48</v>
      </c>
      <c r="J34" s="172"/>
      <c r="K34" s="173"/>
      <c r="L34" s="174">
        <f>L32-L33</f>
        <v>0</v>
      </c>
      <c r="M34" s="175"/>
      <c r="N34" s="200" t="s">
        <v>35</v>
      </c>
      <c r="O34" s="201"/>
      <c r="P34" s="202"/>
      <c r="Q34" s="51">
        <f>Q30-Q31-Q32-Q33</f>
        <v>7368407.3699764842</v>
      </c>
      <c r="R34" s="13"/>
    </row>
    <row r="35" spans="1:20" ht="15" customHeight="1" x14ac:dyDescent="0.25">
      <c r="A35" s="9"/>
      <c r="B35" s="39"/>
      <c r="C35" s="39"/>
      <c r="D35" s="40"/>
      <c r="E35" s="40"/>
      <c r="F35" s="76"/>
      <c r="G35" s="41"/>
      <c r="H35" s="114"/>
      <c r="N35" s="163"/>
      <c r="O35" s="163"/>
      <c r="P35" s="163"/>
      <c r="Q35" s="90"/>
      <c r="R35" s="13"/>
    </row>
    <row r="36" spans="1:20" ht="15" customHeight="1" x14ac:dyDescent="0.25">
      <c r="A36" s="9"/>
      <c r="B36" s="39"/>
      <c r="C36" s="39"/>
      <c r="D36" s="40"/>
      <c r="E36" s="40"/>
      <c r="F36" s="76"/>
      <c r="G36" s="41"/>
      <c r="H36" s="114"/>
      <c r="M36" s="112"/>
      <c r="N36" s="164"/>
      <c r="O36" s="164"/>
      <c r="P36" s="164"/>
      <c r="Q36" s="90"/>
      <c r="R36" s="13"/>
    </row>
    <row r="37" spans="1:20" ht="15" customHeight="1" x14ac:dyDescent="0.25">
      <c r="A37" s="9"/>
      <c r="B37" s="39"/>
      <c r="C37" s="39"/>
      <c r="D37" s="40"/>
      <c r="E37" s="40"/>
      <c r="F37" s="76"/>
      <c r="G37" s="41"/>
      <c r="H37" s="114"/>
      <c r="I37" s="114"/>
      <c r="J37" s="9"/>
      <c r="K37" s="9"/>
      <c r="L37" s="9"/>
      <c r="M37" s="9"/>
      <c r="N37" s="164"/>
      <c r="O37" s="164"/>
      <c r="P37" s="164"/>
      <c r="Q37" s="90"/>
      <c r="R37" s="13"/>
    </row>
    <row r="38" spans="1:20" ht="15" customHeight="1" x14ac:dyDescent="0.25">
      <c r="A38" s="9"/>
      <c r="B38" s="39"/>
      <c r="C38" s="39"/>
      <c r="D38" s="40"/>
      <c r="E38" s="40"/>
      <c r="F38" s="76"/>
      <c r="G38" s="41"/>
      <c r="H38" s="124"/>
      <c r="I38" s="124"/>
      <c r="J38" s="9"/>
      <c r="K38" s="9"/>
      <c r="L38" s="9"/>
      <c r="M38" s="9"/>
      <c r="N38" s="123"/>
      <c r="O38" s="123"/>
      <c r="P38" s="123"/>
      <c r="Q38" s="90"/>
      <c r="R38" s="13"/>
    </row>
    <row r="39" spans="1:20" ht="15" customHeight="1" x14ac:dyDescent="0.25">
      <c r="A39" s="54"/>
      <c r="B39" s="64" t="s">
        <v>0</v>
      </c>
      <c r="C39" s="65"/>
      <c r="D39" s="66" t="s">
        <v>31</v>
      </c>
      <c r="E39" s="66"/>
      <c r="F39" s="65"/>
      <c r="G39" s="66"/>
      <c r="H39" s="66"/>
      <c r="I39" s="66"/>
      <c r="J39" s="66"/>
      <c r="K39" s="66"/>
      <c r="L39" s="66"/>
      <c r="M39" s="66" t="s">
        <v>21</v>
      </c>
      <c r="N39" s="65" t="s">
        <v>20</v>
      </c>
      <c r="O39" s="67">
        <v>21800</v>
      </c>
      <c r="P39" s="68" t="s">
        <v>23</v>
      </c>
      <c r="Q39" s="66"/>
    </row>
    <row r="40" spans="1:20" ht="15" customHeight="1" x14ac:dyDescent="0.25">
      <c r="A40" s="54"/>
      <c r="B40" s="64" t="s">
        <v>1</v>
      </c>
      <c r="C40" s="65"/>
      <c r="D40" s="66" t="s">
        <v>29</v>
      </c>
      <c r="E40" s="66"/>
      <c r="F40" s="65"/>
      <c r="G40" s="66"/>
      <c r="H40" s="66"/>
      <c r="I40" s="66"/>
      <c r="J40" s="66"/>
      <c r="K40" s="66"/>
      <c r="L40" s="66"/>
      <c r="M40" s="66" t="s">
        <v>2</v>
      </c>
      <c r="N40" s="65" t="s">
        <v>20</v>
      </c>
      <c r="O40" s="67">
        <f>37000+1000</f>
        <v>38000</v>
      </c>
      <c r="P40" s="68" t="s">
        <v>24</v>
      </c>
      <c r="Q40" s="66"/>
    </row>
    <row r="41" spans="1:20" ht="15" customHeight="1" x14ac:dyDescent="0.25">
      <c r="A41" s="203" t="s">
        <v>36</v>
      </c>
      <c r="B41" s="205" t="s">
        <v>3</v>
      </c>
      <c r="C41" s="205" t="s">
        <v>4</v>
      </c>
      <c r="D41" s="206" t="s">
        <v>5</v>
      </c>
      <c r="E41" s="203" t="s">
        <v>34</v>
      </c>
      <c r="F41" s="203" t="s">
        <v>6</v>
      </c>
      <c r="G41" s="208" t="s">
        <v>7</v>
      </c>
      <c r="H41" s="206" t="s">
        <v>8</v>
      </c>
      <c r="I41" s="210" t="s">
        <v>9</v>
      </c>
      <c r="J41" s="188" t="s">
        <v>10</v>
      </c>
      <c r="K41" s="188" t="s">
        <v>11</v>
      </c>
      <c r="L41" s="188" t="s">
        <v>12</v>
      </c>
      <c r="M41" s="188" t="s">
        <v>13</v>
      </c>
      <c r="N41" s="188" t="s">
        <v>14</v>
      </c>
      <c r="O41" s="188" t="s">
        <v>15</v>
      </c>
      <c r="P41" s="188" t="s">
        <v>16</v>
      </c>
      <c r="Q41" s="188" t="s">
        <v>17</v>
      </c>
    </row>
    <row r="42" spans="1:20" ht="15" customHeight="1" x14ac:dyDescent="0.25">
      <c r="A42" s="204"/>
      <c r="B42" s="205"/>
      <c r="C42" s="205"/>
      <c r="D42" s="207"/>
      <c r="E42" s="204"/>
      <c r="F42" s="204"/>
      <c r="G42" s="209"/>
      <c r="H42" s="207"/>
      <c r="I42" s="210"/>
      <c r="J42" s="188"/>
      <c r="K42" s="188"/>
      <c r="L42" s="188"/>
      <c r="M42" s="188"/>
      <c r="N42" s="188"/>
      <c r="O42" s="188"/>
      <c r="P42" s="188"/>
      <c r="Q42" s="188"/>
      <c r="T42" s="5">
        <v>8.0593000000000004</v>
      </c>
    </row>
    <row r="43" spans="1:20" ht="15" customHeight="1" x14ac:dyDescent="0.25">
      <c r="A43" s="26">
        <v>1</v>
      </c>
      <c r="B43" s="14">
        <v>45960</v>
      </c>
      <c r="C43" s="14" t="s">
        <v>25</v>
      </c>
      <c r="D43" s="15" t="s">
        <v>18</v>
      </c>
      <c r="E43" s="22">
        <v>0.30694444444444446</v>
      </c>
      <c r="F43" s="120">
        <v>45960.333333333336</v>
      </c>
      <c r="G43" s="120">
        <v>45960.708333333336</v>
      </c>
      <c r="H43" s="29">
        <v>1</v>
      </c>
      <c r="I43" s="30">
        <f>((G43-F43)*24)-H43</f>
        <v>8</v>
      </c>
      <c r="J43" s="31">
        <v>8</v>
      </c>
      <c r="K43" s="32">
        <f t="shared" ref="K43:K65" si="29">I43-J43</f>
        <v>0</v>
      </c>
      <c r="L43" s="33">
        <v>0</v>
      </c>
      <c r="M43" s="34">
        <f>O39</f>
        <v>21800</v>
      </c>
      <c r="N43" s="35">
        <f t="shared" ref="N43:N65" si="30">J43*M43</f>
        <v>174400</v>
      </c>
      <c r="O43" s="35">
        <f t="shared" ref="O43:O47" si="31">L43*M43</f>
        <v>0</v>
      </c>
      <c r="P43" s="35">
        <f>O40</f>
        <v>38000</v>
      </c>
      <c r="Q43" s="35">
        <f t="shared" ref="Q43:Q65" si="32">N43+O43+P43</f>
        <v>212400</v>
      </c>
      <c r="T43" s="5">
        <v>7.0807000000000002</v>
      </c>
    </row>
    <row r="44" spans="1:20" ht="15" customHeight="1" x14ac:dyDescent="0.25">
      <c r="A44" s="26">
        <v>2</v>
      </c>
      <c r="B44" s="14">
        <v>45961</v>
      </c>
      <c r="C44" s="14" t="s">
        <v>26</v>
      </c>
      <c r="D44" s="15" t="s">
        <v>18</v>
      </c>
      <c r="E44" s="22">
        <v>0.31597222222222221</v>
      </c>
      <c r="F44" s="120">
        <v>45961.333333333336</v>
      </c>
      <c r="G44" s="120">
        <v>45961.708333333336</v>
      </c>
      <c r="H44" s="29">
        <v>1</v>
      </c>
      <c r="I44" s="30">
        <f t="shared" ref="I44:I45" si="33">((G44-F44)*24)-H44</f>
        <v>8</v>
      </c>
      <c r="J44" s="31">
        <v>8</v>
      </c>
      <c r="K44" s="32">
        <f t="shared" si="29"/>
        <v>0</v>
      </c>
      <c r="L44" s="33">
        <v>0</v>
      </c>
      <c r="M44" s="34">
        <f>O39</f>
        <v>21800</v>
      </c>
      <c r="N44" s="35">
        <f t="shared" si="30"/>
        <v>174400</v>
      </c>
      <c r="O44" s="35">
        <f t="shared" si="31"/>
        <v>0</v>
      </c>
      <c r="P44" s="35">
        <f>O40</f>
        <v>38000</v>
      </c>
      <c r="Q44" s="35">
        <f t="shared" si="32"/>
        <v>212400</v>
      </c>
      <c r="T44" s="5">
        <f>SUM(T42:T43)</f>
        <v>15.14</v>
      </c>
    </row>
    <row r="45" spans="1:20" ht="15" customHeight="1" x14ac:dyDescent="0.25">
      <c r="A45" s="26">
        <v>3</v>
      </c>
      <c r="B45" s="14">
        <v>45964</v>
      </c>
      <c r="C45" s="14" t="s">
        <v>27</v>
      </c>
      <c r="D45" s="15" t="s">
        <v>18</v>
      </c>
      <c r="E45" s="22">
        <v>0.30763888888888891</v>
      </c>
      <c r="F45" s="120">
        <v>45964.333333333336</v>
      </c>
      <c r="G45" s="120">
        <v>45964.708333333336</v>
      </c>
      <c r="H45" s="29">
        <v>1</v>
      </c>
      <c r="I45" s="30">
        <f t="shared" si="33"/>
        <v>8</v>
      </c>
      <c r="J45" s="31">
        <v>8</v>
      </c>
      <c r="K45" s="32">
        <f t="shared" si="29"/>
        <v>0</v>
      </c>
      <c r="L45" s="33">
        <v>0</v>
      </c>
      <c r="M45" s="34">
        <f t="shared" ref="M45:M65" si="34">$O$39</f>
        <v>21800</v>
      </c>
      <c r="N45" s="35">
        <f t="shared" si="30"/>
        <v>174400</v>
      </c>
      <c r="O45" s="35">
        <f t="shared" si="31"/>
        <v>0</v>
      </c>
      <c r="P45" s="35">
        <f>O40</f>
        <v>38000</v>
      </c>
      <c r="Q45" s="35">
        <f t="shared" si="32"/>
        <v>212400</v>
      </c>
    </row>
    <row r="46" spans="1:20" ht="15" customHeight="1" x14ac:dyDescent="0.25">
      <c r="A46" s="26">
        <v>4</v>
      </c>
      <c r="B46" s="14">
        <v>45965</v>
      </c>
      <c r="C46" s="14" t="s">
        <v>22</v>
      </c>
      <c r="D46" s="15" t="s">
        <v>18</v>
      </c>
      <c r="E46" s="22">
        <v>0.30416666666666664</v>
      </c>
      <c r="F46" s="120">
        <v>45965.333333333336</v>
      </c>
      <c r="G46" s="120">
        <v>45965.708333333336</v>
      </c>
      <c r="H46" s="29">
        <v>1</v>
      </c>
      <c r="I46" s="30">
        <f>((G46-F46)*24)-H46</f>
        <v>8</v>
      </c>
      <c r="J46" s="31">
        <v>8</v>
      </c>
      <c r="K46" s="32">
        <f t="shared" si="29"/>
        <v>0</v>
      </c>
      <c r="L46" s="33">
        <v>0</v>
      </c>
      <c r="M46" s="34">
        <f t="shared" si="34"/>
        <v>21800</v>
      </c>
      <c r="N46" s="35">
        <f t="shared" si="30"/>
        <v>174400</v>
      </c>
      <c r="O46" s="35">
        <f t="shared" si="31"/>
        <v>0</v>
      </c>
      <c r="P46" s="35">
        <f>O40</f>
        <v>38000</v>
      </c>
      <c r="Q46" s="35">
        <f t="shared" si="32"/>
        <v>212400</v>
      </c>
    </row>
    <row r="47" spans="1:20" ht="15" customHeight="1" x14ac:dyDescent="0.25">
      <c r="A47" s="26">
        <v>5</v>
      </c>
      <c r="B47" s="14">
        <v>45966</v>
      </c>
      <c r="C47" s="14" t="s">
        <v>28</v>
      </c>
      <c r="D47" s="15" t="s">
        <v>18</v>
      </c>
      <c r="E47" s="22">
        <v>0.31458333333333333</v>
      </c>
      <c r="F47" s="120">
        <v>45966.333333333336</v>
      </c>
      <c r="G47" s="120">
        <v>45966.708333333336</v>
      </c>
      <c r="H47" s="29">
        <v>1</v>
      </c>
      <c r="I47" s="30">
        <f>((G47-F47)*24)-H47</f>
        <v>8</v>
      </c>
      <c r="J47" s="31">
        <v>8</v>
      </c>
      <c r="K47" s="32">
        <f>I47-J47</f>
        <v>0</v>
      </c>
      <c r="L47" s="33">
        <v>0</v>
      </c>
      <c r="M47" s="34">
        <f t="shared" si="34"/>
        <v>21800</v>
      </c>
      <c r="N47" s="35">
        <f t="shared" si="30"/>
        <v>174400</v>
      </c>
      <c r="O47" s="35">
        <f t="shared" si="31"/>
        <v>0</v>
      </c>
      <c r="P47" s="35">
        <f>O40</f>
        <v>38000</v>
      </c>
      <c r="Q47" s="35">
        <f t="shared" si="32"/>
        <v>212400</v>
      </c>
    </row>
    <row r="48" spans="1:20" ht="15" customHeight="1" x14ac:dyDescent="0.25">
      <c r="A48" s="26">
        <v>6</v>
      </c>
      <c r="B48" s="14">
        <v>45967</v>
      </c>
      <c r="C48" s="14" t="s">
        <v>25</v>
      </c>
      <c r="D48" s="15" t="s">
        <v>18</v>
      </c>
      <c r="E48" s="22">
        <v>0.3034722222222222</v>
      </c>
      <c r="F48" s="120">
        <v>45967.333333333336</v>
      </c>
      <c r="G48" s="120">
        <v>45967.708333333336</v>
      </c>
      <c r="H48" s="29">
        <v>1</v>
      </c>
      <c r="I48" s="30">
        <f t="shared" ref="I48:I65" si="35">((G48-F48)*24)-H48</f>
        <v>8</v>
      </c>
      <c r="J48" s="31">
        <v>8</v>
      </c>
      <c r="K48" s="32">
        <f t="shared" si="29"/>
        <v>0</v>
      </c>
      <c r="L48" s="33">
        <v>0</v>
      </c>
      <c r="M48" s="34">
        <f t="shared" si="34"/>
        <v>21800</v>
      </c>
      <c r="N48" s="35">
        <f t="shared" si="30"/>
        <v>174400</v>
      </c>
      <c r="O48" s="35">
        <f>L48*M48</f>
        <v>0</v>
      </c>
      <c r="P48" s="35">
        <f>O40</f>
        <v>38000</v>
      </c>
      <c r="Q48" s="35">
        <f t="shared" si="32"/>
        <v>212400</v>
      </c>
    </row>
    <row r="49" spans="1:17" ht="15" customHeight="1" x14ac:dyDescent="0.25">
      <c r="A49" s="26">
        <v>7</v>
      </c>
      <c r="B49" s="14">
        <v>45968</v>
      </c>
      <c r="C49" s="14" t="s">
        <v>26</v>
      </c>
      <c r="D49" s="15" t="s">
        <v>18</v>
      </c>
      <c r="E49" s="22">
        <v>0.30069444444444443</v>
      </c>
      <c r="F49" s="120">
        <v>45968.333333333336</v>
      </c>
      <c r="G49" s="120">
        <v>45968.916666666664</v>
      </c>
      <c r="H49" s="29">
        <v>2</v>
      </c>
      <c r="I49" s="30">
        <f t="shared" si="35"/>
        <v>11.999999999883585</v>
      </c>
      <c r="J49" s="31">
        <v>8</v>
      </c>
      <c r="K49" s="32">
        <f t="shared" si="29"/>
        <v>3.9999999998835847</v>
      </c>
      <c r="L49" s="33">
        <f>K49*2-0.5</f>
        <v>7.4999999997671694</v>
      </c>
      <c r="M49" s="34">
        <f t="shared" si="34"/>
        <v>21800</v>
      </c>
      <c r="N49" s="35">
        <f t="shared" si="30"/>
        <v>174400</v>
      </c>
      <c r="O49" s="35">
        <f t="shared" ref="O49:O65" si="36">L49*M49</f>
        <v>163499.99999492429</v>
      </c>
      <c r="P49" s="35">
        <f>O40</f>
        <v>38000</v>
      </c>
      <c r="Q49" s="35">
        <f t="shared" si="32"/>
        <v>375899.99999492429</v>
      </c>
    </row>
    <row r="50" spans="1:17" ht="15" customHeight="1" x14ac:dyDescent="0.25">
      <c r="A50" s="26">
        <v>8</v>
      </c>
      <c r="B50" s="14">
        <v>45969</v>
      </c>
      <c r="C50" s="14" t="s">
        <v>57</v>
      </c>
      <c r="D50" s="15" t="s">
        <v>18</v>
      </c>
      <c r="E50" s="22">
        <v>0.30555555555555558</v>
      </c>
      <c r="F50" s="120">
        <v>45969.333333333336</v>
      </c>
      <c r="G50" s="120">
        <v>45969.916666666664</v>
      </c>
      <c r="H50" s="29">
        <v>2</v>
      </c>
      <c r="I50" s="30">
        <f t="shared" si="35"/>
        <v>11.999999999883585</v>
      </c>
      <c r="J50" s="31">
        <v>5</v>
      </c>
      <c r="K50" s="32">
        <f t="shared" si="29"/>
        <v>6.9999999998835847</v>
      </c>
      <c r="L50" s="33">
        <f>K50*2-0.5</f>
        <v>13.499999999767169</v>
      </c>
      <c r="M50" s="34">
        <f t="shared" si="34"/>
        <v>21800</v>
      </c>
      <c r="N50" s="35">
        <f t="shared" si="30"/>
        <v>109000</v>
      </c>
      <c r="O50" s="35">
        <f t="shared" si="36"/>
        <v>294299.99999492429</v>
      </c>
      <c r="P50" s="35">
        <f>O40</f>
        <v>38000</v>
      </c>
      <c r="Q50" s="35">
        <f t="shared" si="32"/>
        <v>441299.99999492429</v>
      </c>
    </row>
    <row r="51" spans="1:17" ht="15" customHeight="1" x14ac:dyDescent="0.25">
      <c r="A51" s="139">
        <v>9</v>
      </c>
      <c r="B51" s="140">
        <v>45970</v>
      </c>
      <c r="C51" s="140" t="s">
        <v>54</v>
      </c>
      <c r="D51" s="141" t="s">
        <v>18</v>
      </c>
      <c r="E51" s="142">
        <v>0.31805555555555554</v>
      </c>
      <c r="F51" s="143">
        <v>45970.333333333336</v>
      </c>
      <c r="G51" s="143">
        <v>45970.916666666664</v>
      </c>
      <c r="H51" s="144">
        <v>2</v>
      </c>
      <c r="I51" s="145">
        <f t="shared" si="35"/>
        <v>11.999999999883585</v>
      </c>
      <c r="J51" s="146">
        <v>0</v>
      </c>
      <c r="K51" s="147">
        <f t="shared" si="29"/>
        <v>11.999999999883585</v>
      </c>
      <c r="L51" s="148">
        <f>K51*2</f>
        <v>23.999999999767169</v>
      </c>
      <c r="M51" s="149">
        <f t="shared" si="34"/>
        <v>21800</v>
      </c>
      <c r="N51" s="150">
        <f t="shared" si="30"/>
        <v>0</v>
      </c>
      <c r="O51" s="150">
        <f t="shared" si="36"/>
        <v>523199.99999492429</v>
      </c>
      <c r="P51" s="150">
        <f>O40</f>
        <v>38000</v>
      </c>
      <c r="Q51" s="150">
        <f t="shared" si="32"/>
        <v>561199.99999492429</v>
      </c>
    </row>
    <row r="52" spans="1:17" ht="15" customHeight="1" x14ac:dyDescent="0.25">
      <c r="A52" s="26">
        <v>10</v>
      </c>
      <c r="B52" s="14">
        <v>45971</v>
      </c>
      <c r="C52" s="14" t="s">
        <v>27</v>
      </c>
      <c r="D52" s="15" t="s">
        <v>18</v>
      </c>
      <c r="E52" s="22">
        <v>0.29930555555555555</v>
      </c>
      <c r="F52" s="120">
        <v>45971.333333333336</v>
      </c>
      <c r="G52" s="120">
        <v>45971.916666666664</v>
      </c>
      <c r="H52" s="29">
        <v>2</v>
      </c>
      <c r="I52" s="30">
        <f t="shared" si="35"/>
        <v>11.999999999883585</v>
      </c>
      <c r="J52" s="31">
        <v>8</v>
      </c>
      <c r="K52" s="32">
        <f t="shared" si="29"/>
        <v>3.9999999998835847</v>
      </c>
      <c r="L52" s="33">
        <f>K52*2-0.5</f>
        <v>7.4999999997671694</v>
      </c>
      <c r="M52" s="34">
        <f t="shared" si="34"/>
        <v>21800</v>
      </c>
      <c r="N52" s="35">
        <f t="shared" si="30"/>
        <v>174400</v>
      </c>
      <c r="O52" s="35">
        <f t="shared" si="36"/>
        <v>163499.99999492429</v>
      </c>
      <c r="P52" s="35">
        <f>O40</f>
        <v>38000</v>
      </c>
      <c r="Q52" s="35">
        <f t="shared" si="32"/>
        <v>375899.99999492429</v>
      </c>
    </row>
    <row r="53" spans="1:17" ht="15" customHeight="1" x14ac:dyDescent="0.25">
      <c r="A53" s="26">
        <v>11</v>
      </c>
      <c r="B53" s="14">
        <v>45972</v>
      </c>
      <c r="C53" s="14" t="s">
        <v>22</v>
      </c>
      <c r="D53" s="15" t="s">
        <v>18</v>
      </c>
      <c r="E53" s="22">
        <v>0.30277777777777776</v>
      </c>
      <c r="F53" s="120">
        <v>45972.333333333336</v>
      </c>
      <c r="G53" s="120">
        <v>45972.916666666664</v>
      </c>
      <c r="H53" s="29">
        <v>2</v>
      </c>
      <c r="I53" s="30">
        <f t="shared" si="35"/>
        <v>11.999999999883585</v>
      </c>
      <c r="J53" s="31">
        <v>8</v>
      </c>
      <c r="K53" s="32">
        <f t="shared" si="29"/>
        <v>3.9999999998835847</v>
      </c>
      <c r="L53" s="33">
        <f>K53*2-0.5</f>
        <v>7.4999999997671694</v>
      </c>
      <c r="M53" s="34">
        <f t="shared" si="34"/>
        <v>21800</v>
      </c>
      <c r="N53" s="35">
        <f t="shared" si="30"/>
        <v>174400</v>
      </c>
      <c r="O53" s="35">
        <f t="shared" si="36"/>
        <v>163499.99999492429</v>
      </c>
      <c r="P53" s="35">
        <f>O40</f>
        <v>38000</v>
      </c>
      <c r="Q53" s="35">
        <f t="shared" si="32"/>
        <v>375899.99999492429</v>
      </c>
    </row>
    <row r="54" spans="1:17" ht="15" customHeight="1" x14ac:dyDescent="0.25">
      <c r="A54" s="26">
        <v>12</v>
      </c>
      <c r="B54" s="14">
        <v>45973</v>
      </c>
      <c r="C54" s="14" t="s">
        <v>28</v>
      </c>
      <c r="D54" s="15" t="s">
        <v>18</v>
      </c>
      <c r="E54" s="22">
        <v>0.31180555555555556</v>
      </c>
      <c r="F54" s="120">
        <v>45973.333333333336</v>
      </c>
      <c r="G54" s="120">
        <v>45973.708333333336</v>
      </c>
      <c r="H54" s="29">
        <v>1</v>
      </c>
      <c r="I54" s="30">
        <f t="shared" ref="I54:I56" si="37">((G54-F54)*24)-H54</f>
        <v>8</v>
      </c>
      <c r="J54" s="31">
        <v>8</v>
      </c>
      <c r="K54" s="32">
        <f t="shared" ref="K54:K56" si="38">I54-J54</f>
        <v>0</v>
      </c>
      <c r="L54" s="33">
        <v>0</v>
      </c>
      <c r="M54" s="34">
        <f t="shared" si="34"/>
        <v>21800</v>
      </c>
      <c r="N54" s="35">
        <f t="shared" ref="N54:N56" si="39">J54*M54</f>
        <v>174400</v>
      </c>
      <c r="O54" s="35">
        <f t="shared" ref="O54:O56" si="40">L54*M54</f>
        <v>0</v>
      </c>
      <c r="P54" s="35">
        <f>O40</f>
        <v>38000</v>
      </c>
      <c r="Q54" s="35">
        <f t="shared" ref="Q54:Q56" si="41">N54+O54+P54</f>
        <v>212400</v>
      </c>
    </row>
    <row r="55" spans="1:17" ht="15" customHeight="1" x14ac:dyDescent="0.25">
      <c r="A55" s="26">
        <v>13</v>
      </c>
      <c r="B55" s="14">
        <v>45974</v>
      </c>
      <c r="C55" s="14" t="s">
        <v>25</v>
      </c>
      <c r="D55" s="15" t="s">
        <v>18</v>
      </c>
      <c r="E55" s="22">
        <v>0.30416666666666664</v>
      </c>
      <c r="F55" s="120">
        <v>45974.333333333336</v>
      </c>
      <c r="G55" s="120">
        <v>45974.708333333336</v>
      </c>
      <c r="H55" s="29">
        <v>1</v>
      </c>
      <c r="I55" s="30">
        <f t="shared" si="37"/>
        <v>8</v>
      </c>
      <c r="J55" s="31">
        <v>8</v>
      </c>
      <c r="K55" s="32">
        <f t="shared" si="38"/>
        <v>0</v>
      </c>
      <c r="L55" s="33">
        <v>0</v>
      </c>
      <c r="M55" s="34">
        <f t="shared" si="34"/>
        <v>21800</v>
      </c>
      <c r="N55" s="35">
        <f t="shared" si="39"/>
        <v>174400</v>
      </c>
      <c r="O55" s="35">
        <f t="shared" si="40"/>
        <v>0</v>
      </c>
      <c r="P55" s="35">
        <f>O40</f>
        <v>38000</v>
      </c>
      <c r="Q55" s="35">
        <f t="shared" si="41"/>
        <v>212400</v>
      </c>
    </row>
    <row r="56" spans="1:17" ht="15" customHeight="1" x14ac:dyDescent="0.25">
      <c r="A56" s="26">
        <v>14</v>
      </c>
      <c r="B56" s="14">
        <v>45975</v>
      </c>
      <c r="C56" s="14" t="s">
        <v>26</v>
      </c>
      <c r="D56" s="15" t="s">
        <v>18</v>
      </c>
      <c r="E56" s="22">
        <v>0.31111111111111112</v>
      </c>
      <c r="F56" s="120">
        <v>45975.333333333336</v>
      </c>
      <c r="G56" s="120">
        <v>45975.708333333336</v>
      </c>
      <c r="H56" s="29">
        <v>1</v>
      </c>
      <c r="I56" s="30">
        <f t="shared" si="37"/>
        <v>8</v>
      </c>
      <c r="J56" s="31">
        <v>8</v>
      </c>
      <c r="K56" s="32">
        <f t="shared" si="38"/>
        <v>0</v>
      </c>
      <c r="L56" s="33">
        <v>0</v>
      </c>
      <c r="M56" s="34">
        <f t="shared" si="34"/>
        <v>21800</v>
      </c>
      <c r="N56" s="35">
        <f t="shared" si="39"/>
        <v>174400</v>
      </c>
      <c r="O56" s="35">
        <f t="shared" si="40"/>
        <v>0</v>
      </c>
      <c r="P56" s="35">
        <f>O40</f>
        <v>38000</v>
      </c>
      <c r="Q56" s="35">
        <f t="shared" si="41"/>
        <v>212400</v>
      </c>
    </row>
    <row r="57" spans="1:17" ht="15" customHeight="1" x14ac:dyDescent="0.25">
      <c r="A57" s="26">
        <v>15</v>
      </c>
      <c r="B57" s="14">
        <v>45978</v>
      </c>
      <c r="C57" s="14" t="s">
        <v>27</v>
      </c>
      <c r="D57" s="15" t="s">
        <v>18</v>
      </c>
      <c r="E57" s="22">
        <v>0.3</v>
      </c>
      <c r="F57" s="120">
        <v>45978.333333333336</v>
      </c>
      <c r="G57" s="120">
        <v>45978.708333333336</v>
      </c>
      <c r="H57" s="29">
        <v>1</v>
      </c>
      <c r="I57" s="30">
        <f t="shared" ref="I57" si="42">((G57-F57)*24)-H57</f>
        <v>8</v>
      </c>
      <c r="J57" s="31">
        <v>8</v>
      </c>
      <c r="K57" s="32">
        <f t="shared" ref="K57" si="43">I57-J57</f>
        <v>0</v>
      </c>
      <c r="L57" s="33">
        <v>0</v>
      </c>
      <c r="M57" s="34">
        <f t="shared" si="34"/>
        <v>21800</v>
      </c>
      <c r="N57" s="35">
        <f t="shared" ref="N57" si="44">J57*M57</f>
        <v>174400</v>
      </c>
      <c r="O57" s="35">
        <f t="shared" ref="O57" si="45">L57*M57</f>
        <v>0</v>
      </c>
      <c r="P57" s="35">
        <f>O40</f>
        <v>38000</v>
      </c>
      <c r="Q57" s="35">
        <f t="shared" ref="Q57" si="46">N57+O57+P57</f>
        <v>212400</v>
      </c>
    </row>
    <row r="58" spans="1:17" ht="15" customHeight="1" x14ac:dyDescent="0.25">
      <c r="A58" s="26">
        <v>16</v>
      </c>
      <c r="B58" s="14">
        <v>45979</v>
      </c>
      <c r="C58" s="14" t="s">
        <v>22</v>
      </c>
      <c r="D58" s="15" t="s">
        <v>18</v>
      </c>
      <c r="E58" s="22">
        <v>0.30069444444444443</v>
      </c>
      <c r="F58" s="120">
        <v>45979.333333333336</v>
      </c>
      <c r="G58" s="120">
        <v>45979.708333333336</v>
      </c>
      <c r="H58" s="29">
        <v>1</v>
      </c>
      <c r="I58" s="30">
        <f t="shared" ref="I58" si="47">((G58-F58)*24)-H58</f>
        <v>8</v>
      </c>
      <c r="J58" s="31">
        <v>8</v>
      </c>
      <c r="K58" s="32">
        <f t="shared" ref="K58" si="48">I58-J58</f>
        <v>0</v>
      </c>
      <c r="L58" s="33">
        <v>0</v>
      </c>
      <c r="M58" s="34">
        <f t="shared" si="34"/>
        <v>21800</v>
      </c>
      <c r="N58" s="35">
        <f t="shared" ref="N58" si="49">J58*M58</f>
        <v>174400</v>
      </c>
      <c r="O58" s="35">
        <f t="shared" ref="O58" si="50">L58*M58</f>
        <v>0</v>
      </c>
      <c r="P58" s="35">
        <f>O40</f>
        <v>38000</v>
      </c>
      <c r="Q58" s="35">
        <f t="shared" ref="Q58" si="51">N58+O58+P58</f>
        <v>212400</v>
      </c>
    </row>
    <row r="59" spans="1:17" ht="15" customHeight="1" x14ac:dyDescent="0.25">
      <c r="A59" s="26">
        <v>17</v>
      </c>
      <c r="B59" s="14">
        <v>45980</v>
      </c>
      <c r="C59" s="14" t="s">
        <v>28</v>
      </c>
      <c r="D59" s="15" t="s">
        <v>18</v>
      </c>
      <c r="E59" s="22">
        <v>0.30763888888888891</v>
      </c>
      <c r="F59" s="120">
        <v>45980.333333333336</v>
      </c>
      <c r="G59" s="120">
        <v>45980.708333333336</v>
      </c>
      <c r="H59" s="29">
        <v>1</v>
      </c>
      <c r="I59" s="30">
        <f t="shared" ref="I59" si="52">((G59-F59)*24)-H59</f>
        <v>8</v>
      </c>
      <c r="J59" s="31">
        <v>8</v>
      </c>
      <c r="K59" s="32">
        <f t="shared" ref="K59" si="53">I59-J59</f>
        <v>0</v>
      </c>
      <c r="L59" s="33">
        <v>0</v>
      </c>
      <c r="M59" s="34">
        <f t="shared" si="34"/>
        <v>21800</v>
      </c>
      <c r="N59" s="35">
        <f t="shared" ref="N59" si="54">J59*M59</f>
        <v>174400</v>
      </c>
      <c r="O59" s="35">
        <f t="shared" ref="O59" si="55">L59*M59</f>
        <v>0</v>
      </c>
      <c r="P59" s="35">
        <f>O40</f>
        <v>38000</v>
      </c>
      <c r="Q59" s="35">
        <f t="shared" ref="Q59" si="56">N59+O59+P59</f>
        <v>212400</v>
      </c>
    </row>
    <row r="60" spans="1:17" ht="15" customHeight="1" x14ac:dyDescent="0.25">
      <c r="A60" s="26">
        <v>18</v>
      </c>
      <c r="B60" s="14">
        <v>45981</v>
      </c>
      <c r="C60" s="14" t="s">
        <v>25</v>
      </c>
      <c r="D60" s="15" t="s">
        <v>18</v>
      </c>
      <c r="E60" s="22">
        <v>0.30416666666666664</v>
      </c>
      <c r="F60" s="120">
        <v>45981.333333333336</v>
      </c>
      <c r="G60" s="120">
        <v>45981.708333333336</v>
      </c>
      <c r="H60" s="29">
        <v>1</v>
      </c>
      <c r="I60" s="30">
        <f t="shared" ref="I60" si="57">((G60-F60)*24)-H60</f>
        <v>8</v>
      </c>
      <c r="J60" s="31">
        <v>8</v>
      </c>
      <c r="K60" s="32">
        <f t="shared" ref="K60" si="58">I60-J60</f>
        <v>0</v>
      </c>
      <c r="L60" s="33">
        <v>0</v>
      </c>
      <c r="M60" s="34">
        <f t="shared" si="34"/>
        <v>21800</v>
      </c>
      <c r="N60" s="35">
        <f t="shared" ref="N60" si="59">J60*M60</f>
        <v>174400</v>
      </c>
      <c r="O60" s="35">
        <f t="shared" ref="O60" si="60">L60*M60</f>
        <v>0</v>
      </c>
      <c r="P60" s="35">
        <f>O40</f>
        <v>38000</v>
      </c>
      <c r="Q60" s="35">
        <f t="shared" ref="Q60" si="61">N60+O60+P60</f>
        <v>212400</v>
      </c>
    </row>
    <row r="61" spans="1:17" ht="15" customHeight="1" x14ac:dyDescent="0.25">
      <c r="A61" s="26">
        <v>19</v>
      </c>
      <c r="B61" s="14">
        <v>45982</v>
      </c>
      <c r="C61" s="14" t="s">
        <v>26</v>
      </c>
      <c r="D61" s="15" t="s">
        <v>18</v>
      </c>
      <c r="E61" s="22">
        <v>0.29722222222222222</v>
      </c>
      <c r="F61" s="120">
        <v>45982.333333333336</v>
      </c>
      <c r="G61" s="120">
        <v>45982.708333333336</v>
      </c>
      <c r="H61" s="29">
        <v>1</v>
      </c>
      <c r="I61" s="30">
        <f t="shared" ref="I61:I62" si="62">((G61-F61)*24)-H61</f>
        <v>8</v>
      </c>
      <c r="J61" s="31">
        <v>8</v>
      </c>
      <c r="K61" s="32">
        <f t="shared" ref="K61:K62" si="63">I61-J61</f>
        <v>0</v>
      </c>
      <c r="L61" s="33">
        <v>0</v>
      </c>
      <c r="M61" s="34">
        <f t="shared" si="34"/>
        <v>21800</v>
      </c>
      <c r="N61" s="35">
        <f t="shared" ref="N61:N62" si="64">J61*M61</f>
        <v>174400</v>
      </c>
      <c r="O61" s="35">
        <f t="shared" ref="O61:O62" si="65">L61*M61</f>
        <v>0</v>
      </c>
      <c r="P61" s="35">
        <f>O40</f>
        <v>38000</v>
      </c>
      <c r="Q61" s="35">
        <f t="shared" ref="Q61:Q62" si="66">N61+O61+P61</f>
        <v>212400</v>
      </c>
    </row>
    <row r="62" spans="1:17" ht="15" customHeight="1" x14ac:dyDescent="0.25">
      <c r="A62" s="26">
        <v>20</v>
      </c>
      <c r="B62" s="14">
        <v>45985</v>
      </c>
      <c r="C62" s="14" t="s">
        <v>27</v>
      </c>
      <c r="D62" s="15" t="s">
        <v>18</v>
      </c>
      <c r="E62" s="22">
        <v>0.29652777777777778</v>
      </c>
      <c r="F62" s="120">
        <v>45985.333333333336</v>
      </c>
      <c r="G62" s="120">
        <v>45985.708333333336</v>
      </c>
      <c r="H62" s="29">
        <v>1</v>
      </c>
      <c r="I62" s="30">
        <f t="shared" si="62"/>
        <v>8</v>
      </c>
      <c r="J62" s="31">
        <v>8</v>
      </c>
      <c r="K62" s="32">
        <f t="shared" si="63"/>
        <v>0</v>
      </c>
      <c r="L62" s="33">
        <v>0</v>
      </c>
      <c r="M62" s="34">
        <f t="shared" si="34"/>
        <v>21800</v>
      </c>
      <c r="N62" s="35">
        <f t="shared" si="64"/>
        <v>174400</v>
      </c>
      <c r="O62" s="35">
        <f t="shared" si="65"/>
        <v>0</v>
      </c>
      <c r="P62" s="35">
        <f>O40</f>
        <v>38000</v>
      </c>
      <c r="Q62" s="35">
        <f t="shared" si="66"/>
        <v>212400</v>
      </c>
    </row>
    <row r="63" spans="1:17" ht="15" customHeight="1" x14ac:dyDescent="0.25">
      <c r="A63" s="26">
        <v>21</v>
      </c>
      <c r="B63" s="14">
        <v>45986</v>
      </c>
      <c r="C63" s="14" t="s">
        <v>22</v>
      </c>
      <c r="D63" s="15" t="s">
        <v>18</v>
      </c>
      <c r="E63" s="22">
        <v>0.30625000000000002</v>
      </c>
      <c r="F63" s="120">
        <v>45986.333333333336</v>
      </c>
      <c r="G63" s="120">
        <v>45986.708333333336</v>
      </c>
      <c r="H63" s="29">
        <v>1</v>
      </c>
      <c r="I63" s="30">
        <f t="shared" ref="I63" si="67">((G63-F63)*24)-H63</f>
        <v>8</v>
      </c>
      <c r="J63" s="31">
        <v>8</v>
      </c>
      <c r="K63" s="32">
        <f t="shared" ref="K63" si="68">I63-J63</f>
        <v>0</v>
      </c>
      <c r="L63" s="33">
        <v>0</v>
      </c>
      <c r="M63" s="34">
        <f t="shared" si="34"/>
        <v>21800</v>
      </c>
      <c r="N63" s="35">
        <f t="shared" ref="N63" si="69">J63*M63</f>
        <v>174400</v>
      </c>
      <c r="O63" s="35">
        <f t="shared" ref="O63" si="70">L63*M63</f>
        <v>0</v>
      </c>
      <c r="P63" s="35">
        <f>O40</f>
        <v>38000</v>
      </c>
      <c r="Q63" s="35">
        <f t="shared" ref="Q63" si="71">N63+O63+P63</f>
        <v>212400</v>
      </c>
    </row>
    <row r="64" spans="1:17" ht="15" customHeight="1" x14ac:dyDescent="0.25">
      <c r="A64" s="26">
        <v>22</v>
      </c>
      <c r="B64" s="14">
        <v>45987</v>
      </c>
      <c r="C64" s="14" t="s">
        <v>28</v>
      </c>
      <c r="D64" s="15" t="s">
        <v>18</v>
      </c>
      <c r="E64" s="22">
        <v>0.2951388888888889</v>
      </c>
      <c r="F64" s="120">
        <v>45987.333333333336</v>
      </c>
      <c r="G64" s="120">
        <v>45987.708333333336</v>
      </c>
      <c r="H64" s="29">
        <v>1</v>
      </c>
      <c r="I64" s="30">
        <f t="shared" ref="I64" si="72">((G64-F64)*24)-H64</f>
        <v>8</v>
      </c>
      <c r="J64" s="31">
        <v>8</v>
      </c>
      <c r="K64" s="32">
        <f t="shared" ref="K64" si="73">I64-J64</f>
        <v>0</v>
      </c>
      <c r="L64" s="33">
        <v>0</v>
      </c>
      <c r="M64" s="34">
        <f t="shared" si="34"/>
        <v>21800</v>
      </c>
      <c r="N64" s="35">
        <f t="shared" ref="N64" si="74">J64*M64</f>
        <v>174400</v>
      </c>
      <c r="O64" s="35">
        <f t="shared" ref="O64" si="75">L64*M64</f>
        <v>0</v>
      </c>
      <c r="P64" s="35">
        <f>O40</f>
        <v>38000</v>
      </c>
      <c r="Q64" s="35">
        <f t="shared" ref="Q64" si="76">N64+O64+P64</f>
        <v>212400</v>
      </c>
    </row>
    <row r="65" spans="1:19" ht="15" customHeight="1" x14ac:dyDescent="0.25">
      <c r="A65" s="26">
        <v>23</v>
      </c>
      <c r="B65" s="14">
        <v>45988</v>
      </c>
      <c r="C65" s="14" t="s">
        <v>25</v>
      </c>
      <c r="D65" s="15" t="s">
        <v>18</v>
      </c>
      <c r="E65" s="22">
        <v>0.30069444444444443</v>
      </c>
      <c r="F65" s="120">
        <v>45988.333333333336</v>
      </c>
      <c r="G65" s="120">
        <v>45988.708333333336</v>
      </c>
      <c r="H65" s="29">
        <v>1</v>
      </c>
      <c r="I65" s="30">
        <f t="shared" si="35"/>
        <v>8</v>
      </c>
      <c r="J65" s="31">
        <v>8</v>
      </c>
      <c r="K65" s="32">
        <f t="shared" si="29"/>
        <v>0</v>
      </c>
      <c r="L65" s="33">
        <v>0</v>
      </c>
      <c r="M65" s="34">
        <f t="shared" si="34"/>
        <v>21800</v>
      </c>
      <c r="N65" s="35">
        <f t="shared" si="30"/>
        <v>174400</v>
      </c>
      <c r="O65" s="35">
        <f t="shared" si="36"/>
        <v>0</v>
      </c>
      <c r="P65" s="35">
        <f>O40</f>
        <v>38000</v>
      </c>
      <c r="Q65" s="35">
        <f t="shared" si="32"/>
        <v>212400</v>
      </c>
    </row>
    <row r="66" spans="1:19" ht="15" customHeight="1" x14ac:dyDescent="0.25">
      <c r="A66" s="189" t="s">
        <v>19</v>
      </c>
      <c r="B66" s="190"/>
      <c r="C66" s="191"/>
      <c r="D66" s="43"/>
      <c r="E66" s="43"/>
      <c r="F66" s="52"/>
      <c r="G66" s="53"/>
      <c r="H66" s="44"/>
      <c r="I66" s="45"/>
      <c r="J66" s="46"/>
      <c r="K66" s="47"/>
      <c r="L66" s="48"/>
      <c r="M66" s="49"/>
      <c r="N66" s="50">
        <f>SUM(N43:N65)</f>
        <v>3771400</v>
      </c>
      <c r="O66" s="50">
        <f>SUM(O43:O65)</f>
        <v>1307999.9999746215</v>
      </c>
      <c r="P66" s="50">
        <f>SUM(P43:P65)</f>
        <v>874000</v>
      </c>
      <c r="Q66" s="50">
        <f>SUM(Q43:Q65)</f>
        <v>5953399.9999746215</v>
      </c>
      <c r="S66" s="74"/>
    </row>
    <row r="67" spans="1:19" ht="15" customHeight="1" x14ac:dyDescent="0.25">
      <c r="A67" s="54"/>
      <c r="B67" s="55"/>
      <c r="C67" s="55"/>
      <c r="D67" s="56"/>
      <c r="E67" s="56"/>
      <c r="F67" s="57"/>
      <c r="G67" s="58"/>
      <c r="H67" s="59"/>
      <c r="I67" s="192" t="s">
        <v>47</v>
      </c>
      <c r="J67" s="193"/>
      <c r="K67" s="194"/>
      <c r="L67" s="195">
        <v>5000000</v>
      </c>
      <c r="M67" s="196"/>
      <c r="N67" s="254" t="s">
        <v>51</v>
      </c>
      <c r="O67" s="255"/>
      <c r="P67" s="256"/>
      <c r="Q67" s="93">
        <f>SUM(Q66:Q66)</f>
        <v>5953399.9999746215</v>
      </c>
    </row>
    <row r="68" spans="1:19" ht="15" customHeight="1" x14ac:dyDescent="0.25">
      <c r="A68" s="54"/>
      <c r="B68" s="55"/>
      <c r="C68" s="55"/>
      <c r="D68" s="56"/>
      <c r="E68" s="56"/>
      <c r="F68" s="57"/>
      <c r="G68" s="58"/>
      <c r="H68" s="59"/>
      <c r="I68" s="179" t="s">
        <v>49</v>
      </c>
      <c r="J68" s="180"/>
      <c r="K68" s="181"/>
      <c r="L68" s="182">
        <f>L67*0.025</f>
        <v>125000</v>
      </c>
      <c r="M68" s="183"/>
      <c r="N68" s="197" t="s">
        <v>63</v>
      </c>
      <c r="O68" s="198"/>
      <c r="P68" s="199"/>
      <c r="Q68" s="61">
        <v>500000</v>
      </c>
      <c r="S68" s="75"/>
    </row>
    <row r="69" spans="1:19" ht="15" customHeight="1" x14ac:dyDescent="0.25">
      <c r="A69" s="54"/>
      <c r="B69" s="55"/>
      <c r="C69" s="55"/>
      <c r="D69" s="56"/>
      <c r="E69" s="56"/>
      <c r="F69" s="57"/>
      <c r="G69" s="58"/>
      <c r="H69" s="59"/>
      <c r="I69" s="171" t="s">
        <v>50</v>
      </c>
      <c r="J69" s="172"/>
      <c r="K69" s="173"/>
      <c r="L69" s="174">
        <f>SUM(L67:L68)</f>
        <v>5125000</v>
      </c>
      <c r="M69" s="175"/>
      <c r="N69" s="197" t="s">
        <v>37</v>
      </c>
      <c r="O69" s="198"/>
      <c r="P69" s="199"/>
      <c r="Q69" s="61">
        <f>5219263*0.01</f>
        <v>52192.630000000005</v>
      </c>
    </row>
    <row r="70" spans="1:19" ht="15" customHeight="1" x14ac:dyDescent="0.25">
      <c r="A70" s="54"/>
      <c r="B70" s="55"/>
      <c r="C70" s="55"/>
      <c r="D70" s="56"/>
      <c r="E70" s="56"/>
      <c r="F70" s="57"/>
      <c r="G70" s="58"/>
      <c r="H70" s="59"/>
      <c r="I70" s="165" t="s">
        <v>62</v>
      </c>
      <c r="J70" s="166"/>
      <c r="K70" s="167"/>
      <c r="L70" s="168">
        <f>500000*2</f>
        <v>1000000</v>
      </c>
      <c r="M70" s="169"/>
      <c r="N70" s="216" t="s">
        <v>38</v>
      </c>
      <c r="O70" s="217"/>
      <c r="P70" s="253"/>
      <c r="Q70" s="60">
        <v>60000</v>
      </c>
    </row>
    <row r="71" spans="1:19" ht="15" customHeight="1" x14ac:dyDescent="0.25">
      <c r="A71" s="54"/>
      <c r="B71" s="55"/>
      <c r="C71" s="55"/>
      <c r="D71" s="56"/>
      <c r="E71" s="56"/>
      <c r="F71" s="57"/>
      <c r="G71" s="58"/>
      <c r="H71" s="59"/>
      <c r="I71" s="171" t="s">
        <v>48</v>
      </c>
      <c r="J71" s="172"/>
      <c r="K71" s="173"/>
      <c r="L71" s="174">
        <f>L69-L70</f>
        <v>4125000</v>
      </c>
      <c r="M71" s="175"/>
      <c r="N71" s="249" t="s">
        <v>35</v>
      </c>
      <c r="O71" s="250"/>
      <c r="P71" s="250"/>
      <c r="Q71" s="78">
        <f>Q67-Q68-Q69-Q70</f>
        <v>5341207.3699746216</v>
      </c>
    </row>
    <row r="72" spans="1:19" ht="15" customHeight="1" x14ac:dyDescent="0.25">
      <c r="A72" s="54"/>
      <c r="B72" s="55"/>
      <c r="C72" s="55"/>
      <c r="D72" s="56"/>
      <c r="E72" s="56"/>
      <c r="F72" s="57"/>
      <c r="G72" s="58"/>
      <c r="H72" s="59"/>
      <c r="I72" s="251"/>
      <c r="J72" s="251"/>
      <c r="K72" s="251"/>
      <c r="L72" s="252"/>
      <c r="M72" s="252"/>
      <c r="N72" s="215"/>
      <c r="O72" s="215"/>
      <c r="P72" s="215"/>
      <c r="Q72" s="62"/>
    </row>
    <row r="73" spans="1:19" ht="15" customHeight="1" x14ac:dyDescent="0.25">
      <c r="A73" s="54"/>
      <c r="B73" s="55"/>
      <c r="C73" s="55"/>
      <c r="D73" s="56"/>
      <c r="E73" s="56"/>
      <c r="F73" s="57"/>
      <c r="G73" s="58"/>
      <c r="H73" s="59"/>
      <c r="I73" s="245"/>
      <c r="J73" s="245"/>
      <c r="K73" s="245"/>
      <c r="L73" s="246"/>
      <c r="M73" s="247"/>
      <c r="N73" s="248"/>
      <c r="O73" s="248"/>
      <c r="P73" s="248"/>
      <c r="Q73" s="62"/>
    </row>
    <row r="74" spans="1:19" ht="15" customHeight="1" x14ac:dyDescent="0.25">
      <c r="A74" s="54"/>
      <c r="B74" s="55"/>
      <c r="C74" s="55"/>
      <c r="D74" s="56"/>
      <c r="E74" s="56"/>
      <c r="F74" s="57"/>
      <c r="G74" s="58"/>
      <c r="H74" s="59"/>
      <c r="I74" s="59"/>
      <c r="J74" s="54"/>
      <c r="K74" s="54"/>
      <c r="L74" s="54"/>
      <c r="M74" s="54"/>
      <c r="N74" s="113"/>
      <c r="O74" s="113"/>
      <c r="P74" s="113"/>
      <c r="Q74" s="62"/>
    </row>
    <row r="75" spans="1:19" ht="15" customHeight="1" x14ac:dyDescent="0.25">
      <c r="A75" s="54"/>
      <c r="B75" s="55"/>
      <c r="C75" s="55"/>
      <c r="D75" s="56"/>
      <c r="E75" s="56"/>
      <c r="F75" s="57"/>
      <c r="G75" s="58"/>
      <c r="H75" s="59"/>
      <c r="I75" s="59"/>
      <c r="J75" s="54"/>
      <c r="K75" s="54"/>
      <c r="L75" s="54"/>
      <c r="M75" s="54"/>
      <c r="N75" s="113"/>
      <c r="O75" s="113"/>
      <c r="P75" s="113"/>
      <c r="Q75" s="62"/>
    </row>
    <row r="76" spans="1:19" ht="15" customHeight="1" x14ac:dyDescent="0.25">
      <c r="A76" s="54"/>
      <c r="B76" s="55"/>
      <c r="C76" s="55"/>
      <c r="D76" s="56"/>
      <c r="E76" s="56"/>
      <c r="F76" s="57"/>
      <c r="G76" s="58"/>
      <c r="H76" s="59"/>
      <c r="I76" s="59"/>
      <c r="J76" s="54"/>
      <c r="K76" s="54"/>
      <c r="L76" s="54"/>
      <c r="M76" s="54"/>
      <c r="N76" s="113"/>
      <c r="O76" s="113"/>
      <c r="P76" s="113"/>
      <c r="Q76" s="62"/>
    </row>
    <row r="77" spans="1:19" ht="15" customHeight="1" x14ac:dyDescent="0.25">
      <c r="A77" s="54"/>
      <c r="B77" s="55"/>
      <c r="C77" s="55"/>
      <c r="D77" s="56"/>
      <c r="E77" s="56"/>
      <c r="F77" s="57"/>
      <c r="G77" s="58"/>
      <c r="H77" s="59"/>
      <c r="I77" s="59"/>
      <c r="J77" s="54"/>
      <c r="K77" s="54"/>
      <c r="L77" s="54"/>
      <c r="M77" s="54"/>
      <c r="N77" s="113"/>
      <c r="O77" s="113"/>
      <c r="P77" s="113"/>
      <c r="Q77" s="62"/>
    </row>
    <row r="78" spans="1:19" ht="15" customHeight="1" x14ac:dyDescent="0.25">
      <c r="A78" s="54"/>
      <c r="B78" s="55"/>
      <c r="C78" s="55"/>
      <c r="D78" s="56"/>
      <c r="E78" s="56"/>
      <c r="F78" s="57"/>
      <c r="G78" s="58"/>
      <c r="H78" s="59"/>
      <c r="I78" s="59"/>
      <c r="J78" s="54"/>
      <c r="K78" s="54"/>
      <c r="L78" s="54"/>
      <c r="M78" s="54"/>
      <c r="N78" s="113"/>
      <c r="O78" s="113"/>
      <c r="P78" s="113"/>
      <c r="Q78" s="62"/>
    </row>
    <row r="79" spans="1:19" ht="15" customHeight="1" x14ac:dyDescent="0.25">
      <c r="A79" s="54"/>
      <c r="B79" s="55"/>
      <c r="C79" s="55"/>
      <c r="D79" s="56"/>
      <c r="E79" s="56"/>
      <c r="F79" s="57"/>
      <c r="G79" s="58"/>
      <c r="H79" s="59"/>
      <c r="I79" s="59"/>
      <c r="J79" s="54"/>
      <c r="K79" s="54"/>
      <c r="L79" s="54"/>
      <c r="M79" s="54"/>
      <c r="N79" s="113"/>
      <c r="O79" s="113"/>
      <c r="P79" s="113"/>
      <c r="Q79" s="62"/>
    </row>
    <row r="80" spans="1:19" ht="15" customHeight="1" x14ac:dyDescent="0.25">
      <c r="A80" s="54"/>
      <c r="B80" s="55"/>
      <c r="C80" s="55"/>
      <c r="D80" s="56"/>
      <c r="E80" s="56"/>
      <c r="F80" s="57"/>
      <c r="G80" s="58"/>
      <c r="H80" s="59"/>
      <c r="I80" s="59"/>
      <c r="J80" s="54"/>
      <c r="K80" s="54"/>
      <c r="L80" s="54"/>
      <c r="M80" s="54"/>
      <c r="N80" s="113"/>
      <c r="O80" s="113"/>
      <c r="P80" s="113"/>
      <c r="Q80" s="62"/>
    </row>
    <row r="81" spans="1:20" ht="15" customHeight="1" x14ac:dyDescent="0.25">
      <c r="A81" s="54"/>
      <c r="B81" s="55"/>
      <c r="C81" s="55"/>
      <c r="D81" s="56"/>
      <c r="E81" s="56"/>
      <c r="F81" s="57"/>
      <c r="G81" s="58"/>
      <c r="H81" s="59"/>
      <c r="I81" s="59"/>
      <c r="J81" s="54"/>
      <c r="K81" s="54"/>
      <c r="L81" s="54"/>
      <c r="M81" s="54"/>
      <c r="N81" s="138"/>
      <c r="O81" s="138"/>
      <c r="P81" s="138"/>
      <c r="Q81" s="62"/>
    </row>
    <row r="82" spans="1:20" ht="15" customHeight="1" x14ac:dyDescent="0.25">
      <c r="A82" s="54"/>
      <c r="B82" s="64" t="s">
        <v>0</v>
      </c>
      <c r="C82" s="65"/>
      <c r="D82" s="66" t="s">
        <v>32</v>
      </c>
      <c r="E82" s="66"/>
      <c r="F82" s="65"/>
      <c r="G82" s="66"/>
      <c r="H82" s="66"/>
      <c r="I82" s="66"/>
      <c r="J82" s="66"/>
      <c r="K82" s="66"/>
      <c r="L82" s="66"/>
      <c r="M82" s="66" t="s">
        <v>21</v>
      </c>
      <c r="N82" s="65" t="s">
        <v>20</v>
      </c>
      <c r="O82" s="67">
        <v>24500</v>
      </c>
      <c r="P82" s="68" t="s">
        <v>23</v>
      </c>
      <c r="Q82" s="66"/>
      <c r="T82" s="5">
        <f>22440</f>
        <v>22440</v>
      </c>
    </row>
    <row r="83" spans="1:20" ht="15" customHeight="1" x14ac:dyDescent="0.25">
      <c r="A83" s="54"/>
      <c r="B83" s="64" t="s">
        <v>1</v>
      </c>
      <c r="C83" s="65"/>
      <c r="D83" s="66" t="s">
        <v>33</v>
      </c>
      <c r="E83" s="66"/>
      <c r="F83" s="65"/>
      <c r="G83" s="66"/>
      <c r="H83" s="66"/>
      <c r="I83" s="66"/>
      <c r="J83" s="66"/>
      <c r="K83" s="66"/>
      <c r="L83" s="66"/>
      <c r="M83" s="66" t="s">
        <v>2</v>
      </c>
      <c r="N83" s="65" t="s">
        <v>20</v>
      </c>
      <c r="O83" s="67">
        <f>37000+1000</f>
        <v>38000</v>
      </c>
      <c r="P83" s="68" t="s">
        <v>24</v>
      </c>
      <c r="Q83" s="66"/>
      <c r="T83" s="5">
        <f>T82*0.08</f>
        <v>1795.2</v>
      </c>
    </row>
    <row r="84" spans="1:20" ht="15" customHeight="1" x14ac:dyDescent="0.25">
      <c r="A84" s="203" t="s">
        <v>36</v>
      </c>
      <c r="B84" s="205" t="s">
        <v>3</v>
      </c>
      <c r="C84" s="205" t="s">
        <v>4</v>
      </c>
      <c r="D84" s="206" t="s">
        <v>5</v>
      </c>
      <c r="E84" s="206" t="s">
        <v>34</v>
      </c>
      <c r="F84" s="203" t="s">
        <v>6</v>
      </c>
      <c r="G84" s="208" t="s">
        <v>7</v>
      </c>
      <c r="H84" s="206" t="s">
        <v>8</v>
      </c>
      <c r="I84" s="210" t="s">
        <v>9</v>
      </c>
      <c r="J84" s="188" t="s">
        <v>10</v>
      </c>
      <c r="K84" s="188" t="s">
        <v>11</v>
      </c>
      <c r="L84" s="188" t="s">
        <v>12</v>
      </c>
      <c r="M84" s="188" t="s">
        <v>13</v>
      </c>
      <c r="N84" s="188" t="s">
        <v>14</v>
      </c>
      <c r="O84" s="188" t="s">
        <v>15</v>
      </c>
      <c r="P84" s="188" t="s">
        <v>16</v>
      </c>
      <c r="Q84" s="188" t="s">
        <v>17</v>
      </c>
      <c r="T84" s="5">
        <f>SUM(T82:T83)</f>
        <v>24235.200000000001</v>
      </c>
    </row>
    <row r="85" spans="1:20" ht="15" customHeight="1" x14ac:dyDescent="0.25">
      <c r="A85" s="204"/>
      <c r="B85" s="205"/>
      <c r="C85" s="205"/>
      <c r="D85" s="207"/>
      <c r="E85" s="207"/>
      <c r="F85" s="204"/>
      <c r="G85" s="209"/>
      <c r="H85" s="207"/>
      <c r="I85" s="210"/>
      <c r="J85" s="188"/>
      <c r="K85" s="188"/>
      <c r="L85" s="188"/>
      <c r="M85" s="188"/>
      <c r="N85" s="188"/>
      <c r="O85" s="188"/>
      <c r="P85" s="188"/>
      <c r="Q85" s="188"/>
    </row>
    <row r="86" spans="1:20" ht="15" customHeight="1" x14ac:dyDescent="0.25">
      <c r="A86" s="26">
        <v>1</v>
      </c>
      <c r="B86" s="14">
        <v>45960</v>
      </c>
      <c r="C86" s="14" t="s">
        <v>25</v>
      </c>
      <c r="D86" s="15" t="s">
        <v>18</v>
      </c>
      <c r="E86" s="22">
        <v>0.33611111111111114</v>
      </c>
      <c r="F86" s="120">
        <v>45960.336111111108</v>
      </c>
      <c r="G86" s="120">
        <v>45960.708333333336</v>
      </c>
      <c r="H86" s="29">
        <v>1</v>
      </c>
      <c r="I86" s="30">
        <f>((G86-F86)*24)-H86</f>
        <v>7.9333333334652707</v>
      </c>
      <c r="J86" s="31">
        <v>8</v>
      </c>
      <c r="K86" s="32">
        <f t="shared" ref="K86:K108" si="77">I86-J86</f>
        <v>-6.6666666534729302E-2</v>
      </c>
      <c r="L86" s="33">
        <v>0</v>
      </c>
      <c r="M86" s="34">
        <f>O82</f>
        <v>24500</v>
      </c>
      <c r="N86" s="35">
        <f t="shared" ref="N86:N108" si="78">J86*M86</f>
        <v>196000</v>
      </c>
      <c r="O86" s="35">
        <f t="shared" ref="O86:O108" si="79">L86*M86</f>
        <v>0</v>
      </c>
      <c r="P86" s="35">
        <f>O83</f>
        <v>38000</v>
      </c>
      <c r="Q86" s="35">
        <f t="shared" ref="Q86:Q108" si="80">N86+O86+P86</f>
        <v>234000</v>
      </c>
    </row>
    <row r="87" spans="1:20" ht="15" customHeight="1" x14ac:dyDescent="0.25">
      <c r="A87" s="26">
        <v>2</v>
      </c>
      <c r="B87" s="14">
        <v>45961</v>
      </c>
      <c r="C87" s="14" t="s">
        <v>26</v>
      </c>
      <c r="D87" s="15" t="s">
        <v>18</v>
      </c>
      <c r="E87" s="22">
        <v>0.33124999999999999</v>
      </c>
      <c r="F87" s="120">
        <v>45961.333333333336</v>
      </c>
      <c r="G87" s="120">
        <v>45961.708333333336</v>
      </c>
      <c r="H87" s="29">
        <v>1</v>
      </c>
      <c r="I87" s="30">
        <f t="shared" ref="I87:I108" si="81">((G87-F87)*24)-H87</f>
        <v>8</v>
      </c>
      <c r="J87" s="31">
        <v>8</v>
      </c>
      <c r="K87" s="32">
        <f t="shared" si="77"/>
        <v>0</v>
      </c>
      <c r="L87" s="33">
        <v>0</v>
      </c>
      <c r="M87" s="34">
        <f>O82</f>
        <v>24500</v>
      </c>
      <c r="N87" s="35">
        <f>J87*M87</f>
        <v>196000</v>
      </c>
      <c r="O87" s="35">
        <f t="shared" si="79"/>
        <v>0</v>
      </c>
      <c r="P87" s="35">
        <f>O83</f>
        <v>38000</v>
      </c>
      <c r="Q87" s="35">
        <f t="shared" si="80"/>
        <v>234000</v>
      </c>
    </row>
    <row r="88" spans="1:20" ht="15" customHeight="1" x14ac:dyDescent="0.25">
      <c r="A88" s="26">
        <v>3</v>
      </c>
      <c r="B88" s="14">
        <v>45964</v>
      </c>
      <c r="C88" s="14" t="s">
        <v>27</v>
      </c>
      <c r="D88" s="15" t="s">
        <v>18</v>
      </c>
      <c r="E88" s="22">
        <v>0.33263888888888887</v>
      </c>
      <c r="F88" s="120">
        <v>45964.333333333336</v>
      </c>
      <c r="G88" s="120">
        <v>45964.708333333336</v>
      </c>
      <c r="H88" s="29">
        <v>1</v>
      </c>
      <c r="I88" s="30">
        <f t="shared" si="81"/>
        <v>8</v>
      </c>
      <c r="J88" s="31">
        <v>8</v>
      </c>
      <c r="K88" s="32">
        <f t="shared" si="77"/>
        <v>0</v>
      </c>
      <c r="L88" s="33">
        <v>0</v>
      </c>
      <c r="M88" s="34">
        <f t="shared" ref="M88:M108" si="82">$O$82</f>
        <v>24500</v>
      </c>
      <c r="N88" s="35">
        <f t="shared" si="78"/>
        <v>196000</v>
      </c>
      <c r="O88" s="35">
        <f t="shared" si="79"/>
        <v>0</v>
      </c>
      <c r="P88" s="35">
        <f>O83</f>
        <v>38000</v>
      </c>
      <c r="Q88" s="35">
        <f t="shared" si="80"/>
        <v>234000</v>
      </c>
    </row>
    <row r="89" spans="1:20" ht="15" customHeight="1" x14ac:dyDescent="0.25">
      <c r="A89" s="26">
        <v>4</v>
      </c>
      <c r="B89" s="14">
        <v>45965</v>
      </c>
      <c r="C89" s="14" t="s">
        <v>22</v>
      </c>
      <c r="D89" s="15" t="s">
        <v>18</v>
      </c>
      <c r="E89" s="22">
        <v>0.33819444444444446</v>
      </c>
      <c r="F89" s="120">
        <v>45965.338194444441</v>
      </c>
      <c r="G89" s="120">
        <v>45965.708333333336</v>
      </c>
      <c r="H89" s="29">
        <v>1</v>
      </c>
      <c r="I89" s="30">
        <f t="shared" si="81"/>
        <v>7.8833333334769122</v>
      </c>
      <c r="J89" s="31">
        <v>8</v>
      </c>
      <c r="K89" s="32">
        <f t="shared" si="77"/>
        <v>-0.11666666652308777</v>
      </c>
      <c r="L89" s="33">
        <v>0</v>
      </c>
      <c r="M89" s="34">
        <f t="shared" si="82"/>
        <v>24500</v>
      </c>
      <c r="N89" s="35">
        <f t="shared" si="78"/>
        <v>196000</v>
      </c>
      <c r="O89" s="35">
        <f t="shared" si="79"/>
        <v>0</v>
      </c>
      <c r="P89" s="35">
        <f>O83</f>
        <v>38000</v>
      </c>
      <c r="Q89" s="35">
        <f t="shared" si="80"/>
        <v>234000</v>
      </c>
    </row>
    <row r="90" spans="1:20" ht="15" customHeight="1" x14ac:dyDescent="0.25">
      <c r="A90" s="26">
        <v>5</v>
      </c>
      <c r="B90" s="14">
        <v>45966</v>
      </c>
      <c r="C90" s="14" t="s">
        <v>28</v>
      </c>
      <c r="D90" s="15" t="s">
        <v>18</v>
      </c>
      <c r="E90" s="22">
        <v>0.33541666666666664</v>
      </c>
      <c r="F90" s="120">
        <v>45966.335416666669</v>
      </c>
      <c r="G90" s="120">
        <v>45966.708333333336</v>
      </c>
      <c r="H90" s="29">
        <v>1</v>
      </c>
      <c r="I90" s="30">
        <f t="shared" si="81"/>
        <v>7.9500000000116415</v>
      </c>
      <c r="J90" s="31">
        <v>8</v>
      </c>
      <c r="K90" s="32">
        <f t="shared" si="77"/>
        <v>-4.9999999988358468E-2</v>
      </c>
      <c r="L90" s="33">
        <v>0</v>
      </c>
      <c r="M90" s="34">
        <f t="shared" si="82"/>
        <v>24500</v>
      </c>
      <c r="N90" s="35">
        <f t="shared" si="78"/>
        <v>196000</v>
      </c>
      <c r="O90" s="35">
        <f t="shared" si="79"/>
        <v>0</v>
      </c>
      <c r="P90" s="35">
        <f>O83</f>
        <v>38000</v>
      </c>
      <c r="Q90" s="35">
        <f t="shared" si="80"/>
        <v>234000</v>
      </c>
    </row>
    <row r="91" spans="1:20" ht="15" customHeight="1" x14ac:dyDescent="0.25">
      <c r="A91" s="26">
        <v>6</v>
      </c>
      <c r="B91" s="14">
        <v>45967</v>
      </c>
      <c r="C91" s="14" t="s">
        <v>25</v>
      </c>
      <c r="D91" s="15" t="s">
        <v>18</v>
      </c>
      <c r="E91" s="22">
        <v>0.3347222222222222</v>
      </c>
      <c r="F91" s="120">
        <v>45967.334722222222</v>
      </c>
      <c r="G91" s="120">
        <v>45967.708333333336</v>
      </c>
      <c r="H91" s="29">
        <v>1</v>
      </c>
      <c r="I91" s="30">
        <f t="shared" si="81"/>
        <v>7.9666666667326353</v>
      </c>
      <c r="J91" s="31">
        <v>8</v>
      </c>
      <c r="K91" s="32">
        <f t="shared" si="77"/>
        <v>-3.3333333267364651E-2</v>
      </c>
      <c r="L91" s="33">
        <v>0</v>
      </c>
      <c r="M91" s="34">
        <f t="shared" si="82"/>
        <v>24500</v>
      </c>
      <c r="N91" s="35">
        <f t="shared" si="78"/>
        <v>196000</v>
      </c>
      <c r="O91" s="35">
        <f t="shared" si="79"/>
        <v>0</v>
      </c>
      <c r="P91" s="35">
        <f>O83</f>
        <v>38000</v>
      </c>
      <c r="Q91" s="35">
        <f t="shared" si="80"/>
        <v>234000</v>
      </c>
    </row>
    <row r="92" spans="1:20" ht="15" customHeight="1" x14ac:dyDescent="0.25">
      <c r="A92" s="26">
        <v>7</v>
      </c>
      <c r="B92" s="14">
        <v>45968</v>
      </c>
      <c r="C92" s="14" t="s">
        <v>26</v>
      </c>
      <c r="D92" s="15" t="s">
        <v>18</v>
      </c>
      <c r="E92" s="22">
        <v>0.33194444444444443</v>
      </c>
      <c r="F92" s="120">
        <v>45968.333333333336</v>
      </c>
      <c r="G92" s="120">
        <v>45968.916666666664</v>
      </c>
      <c r="H92" s="29">
        <v>2</v>
      </c>
      <c r="I92" s="30">
        <f t="shared" si="81"/>
        <v>11.999999999883585</v>
      </c>
      <c r="J92" s="31">
        <v>8</v>
      </c>
      <c r="K92" s="32">
        <f t="shared" si="77"/>
        <v>3.9999999998835847</v>
      </c>
      <c r="L92" s="33">
        <f>K92*2-0.5</f>
        <v>7.4999999997671694</v>
      </c>
      <c r="M92" s="34">
        <f t="shared" si="82"/>
        <v>24500</v>
      </c>
      <c r="N92" s="35">
        <f t="shared" si="78"/>
        <v>196000</v>
      </c>
      <c r="O92" s="35">
        <f t="shared" si="79"/>
        <v>183749.99999429565</v>
      </c>
      <c r="P92" s="35">
        <f>O83</f>
        <v>38000</v>
      </c>
      <c r="Q92" s="35">
        <f t="shared" si="80"/>
        <v>417749.99999429565</v>
      </c>
    </row>
    <row r="93" spans="1:20" ht="15" customHeight="1" x14ac:dyDescent="0.25">
      <c r="A93" s="26">
        <v>8</v>
      </c>
      <c r="B93" s="14">
        <v>45969</v>
      </c>
      <c r="C93" s="14" t="s">
        <v>57</v>
      </c>
      <c r="D93" s="15" t="s">
        <v>18</v>
      </c>
      <c r="E93" s="22">
        <v>0.33263888888888887</v>
      </c>
      <c r="F93" s="120">
        <v>45969.333333333336</v>
      </c>
      <c r="G93" s="120">
        <v>45969.916666666664</v>
      </c>
      <c r="H93" s="29">
        <v>2</v>
      </c>
      <c r="I93" s="30">
        <f t="shared" si="81"/>
        <v>11.999999999883585</v>
      </c>
      <c r="J93" s="31">
        <v>5</v>
      </c>
      <c r="K93" s="32">
        <f t="shared" si="77"/>
        <v>6.9999999998835847</v>
      </c>
      <c r="L93" s="33">
        <f>K93*2-0.5</f>
        <v>13.499999999767169</v>
      </c>
      <c r="M93" s="34">
        <f t="shared" si="82"/>
        <v>24500</v>
      </c>
      <c r="N93" s="35">
        <f t="shared" si="78"/>
        <v>122500</v>
      </c>
      <c r="O93" s="35">
        <f t="shared" si="79"/>
        <v>330749.99999429565</v>
      </c>
      <c r="P93" s="35">
        <f>O83</f>
        <v>38000</v>
      </c>
      <c r="Q93" s="35">
        <f t="shared" si="80"/>
        <v>491249.99999429565</v>
      </c>
    </row>
    <row r="94" spans="1:20" ht="15" customHeight="1" x14ac:dyDescent="0.25">
      <c r="A94" s="139">
        <v>9</v>
      </c>
      <c r="B94" s="140">
        <v>45970</v>
      </c>
      <c r="C94" s="140" t="s">
        <v>54</v>
      </c>
      <c r="D94" s="141" t="s">
        <v>18</v>
      </c>
      <c r="E94" s="142">
        <v>0.32708333333333334</v>
      </c>
      <c r="F94" s="143">
        <v>45970.333333333336</v>
      </c>
      <c r="G94" s="143">
        <v>45970.916666666664</v>
      </c>
      <c r="H94" s="144">
        <v>2</v>
      </c>
      <c r="I94" s="145">
        <f t="shared" si="81"/>
        <v>11.999999999883585</v>
      </c>
      <c r="J94" s="146">
        <v>0</v>
      </c>
      <c r="K94" s="147">
        <f t="shared" si="77"/>
        <v>11.999999999883585</v>
      </c>
      <c r="L94" s="148">
        <f>K94*2</f>
        <v>23.999999999767169</v>
      </c>
      <c r="M94" s="149">
        <f t="shared" si="82"/>
        <v>24500</v>
      </c>
      <c r="N94" s="150">
        <f t="shared" si="78"/>
        <v>0</v>
      </c>
      <c r="O94" s="150">
        <f t="shared" si="79"/>
        <v>587999.99999429565</v>
      </c>
      <c r="P94" s="150">
        <f>O83</f>
        <v>38000</v>
      </c>
      <c r="Q94" s="150">
        <f t="shared" si="80"/>
        <v>625999.99999429565</v>
      </c>
    </row>
    <row r="95" spans="1:20" ht="15" customHeight="1" x14ac:dyDescent="0.25">
      <c r="A95" s="26">
        <v>10</v>
      </c>
      <c r="B95" s="14">
        <v>45971</v>
      </c>
      <c r="C95" s="14" t="s">
        <v>27</v>
      </c>
      <c r="D95" s="15" t="s">
        <v>18</v>
      </c>
      <c r="E95" s="22">
        <v>0.33819444444444446</v>
      </c>
      <c r="F95" s="120">
        <v>45971.338194444441</v>
      </c>
      <c r="G95" s="120">
        <v>45971.916666666664</v>
      </c>
      <c r="H95" s="29">
        <v>2</v>
      </c>
      <c r="I95" s="30">
        <f t="shared" si="81"/>
        <v>11.883333333360497</v>
      </c>
      <c r="J95" s="31">
        <v>8</v>
      </c>
      <c r="K95" s="32">
        <f t="shared" si="77"/>
        <v>3.8833333333604969</v>
      </c>
      <c r="L95" s="33">
        <f>K95*2-0.5</f>
        <v>7.2666666667209938</v>
      </c>
      <c r="M95" s="34">
        <f t="shared" si="82"/>
        <v>24500</v>
      </c>
      <c r="N95" s="35">
        <f t="shared" si="78"/>
        <v>196000</v>
      </c>
      <c r="O95" s="35">
        <f t="shared" si="79"/>
        <v>178033.33333466435</v>
      </c>
      <c r="P95" s="35">
        <f>O83</f>
        <v>38000</v>
      </c>
      <c r="Q95" s="35">
        <f t="shared" si="80"/>
        <v>412033.33333466435</v>
      </c>
      <c r="S95" s="5">
        <v>1</v>
      </c>
    </row>
    <row r="96" spans="1:20" ht="15" customHeight="1" x14ac:dyDescent="0.25">
      <c r="A96" s="26">
        <v>11</v>
      </c>
      <c r="B96" s="14">
        <v>45972</v>
      </c>
      <c r="C96" s="14" t="s">
        <v>22</v>
      </c>
      <c r="D96" s="15" t="s">
        <v>18</v>
      </c>
      <c r="E96" s="22">
        <v>0.3347222222222222</v>
      </c>
      <c r="F96" s="120">
        <v>45972.334722222222</v>
      </c>
      <c r="G96" s="120">
        <v>45972.916666666664</v>
      </c>
      <c r="H96" s="29">
        <v>2</v>
      </c>
      <c r="I96" s="30">
        <f t="shared" ref="I96:I100" si="83">((G96-F96)*24)-H96</f>
        <v>11.96666666661622</v>
      </c>
      <c r="J96" s="31">
        <v>8</v>
      </c>
      <c r="K96" s="32">
        <f t="shared" ref="K96:K100" si="84">I96-J96</f>
        <v>3.96666666661622</v>
      </c>
      <c r="L96" s="33">
        <f>K96*2-0.5</f>
        <v>7.4333333332324401</v>
      </c>
      <c r="M96" s="34">
        <f t="shared" si="82"/>
        <v>24500</v>
      </c>
      <c r="N96" s="35">
        <f t="shared" ref="N96:N100" si="85">J96*M96</f>
        <v>196000</v>
      </c>
      <c r="O96" s="35">
        <f t="shared" ref="O96:O100" si="86">L96*M96</f>
        <v>182116.66666419478</v>
      </c>
      <c r="P96" s="35">
        <f>O83</f>
        <v>38000</v>
      </c>
      <c r="Q96" s="35">
        <f t="shared" ref="Q96:Q100" si="87">N96+O96+P96</f>
        <v>416116.66666419478</v>
      </c>
    </row>
    <row r="97" spans="1:17" ht="15" customHeight="1" x14ac:dyDescent="0.25">
      <c r="A97" s="26">
        <v>12</v>
      </c>
      <c r="B97" s="14">
        <v>45973</v>
      </c>
      <c r="C97" s="14" t="s">
        <v>28</v>
      </c>
      <c r="D97" s="15" t="s">
        <v>18</v>
      </c>
      <c r="E97" s="22">
        <v>0.33194444444444443</v>
      </c>
      <c r="F97" s="120">
        <v>45973.333333333336</v>
      </c>
      <c r="G97" s="120">
        <v>45973.708333333336</v>
      </c>
      <c r="H97" s="29">
        <v>1</v>
      </c>
      <c r="I97" s="30">
        <f t="shared" si="83"/>
        <v>8</v>
      </c>
      <c r="J97" s="31">
        <v>8</v>
      </c>
      <c r="K97" s="32">
        <f t="shared" si="84"/>
        <v>0</v>
      </c>
      <c r="L97" s="33"/>
      <c r="M97" s="34">
        <f t="shared" si="82"/>
        <v>24500</v>
      </c>
      <c r="N97" s="35">
        <f t="shared" si="85"/>
        <v>196000</v>
      </c>
      <c r="O97" s="35">
        <f t="shared" si="86"/>
        <v>0</v>
      </c>
      <c r="P97" s="35">
        <f>O83</f>
        <v>38000</v>
      </c>
      <c r="Q97" s="35">
        <f t="shared" si="87"/>
        <v>234000</v>
      </c>
    </row>
    <row r="98" spans="1:17" ht="15" customHeight="1" x14ac:dyDescent="0.25">
      <c r="A98" s="26">
        <v>13</v>
      </c>
      <c r="B98" s="14">
        <v>45974</v>
      </c>
      <c r="C98" s="14" t="s">
        <v>25</v>
      </c>
      <c r="D98" s="15" t="s">
        <v>18</v>
      </c>
      <c r="E98" s="22">
        <v>0.31944444444444442</v>
      </c>
      <c r="F98" s="120">
        <v>45974.333333333336</v>
      </c>
      <c r="G98" s="120">
        <v>45974.708333333336</v>
      </c>
      <c r="H98" s="29">
        <v>1</v>
      </c>
      <c r="I98" s="30">
        <f t="shared" si="83"/>
        <v>8</v>
      </c>
      <c r="J98" s="31">
        <v>8</v>
      </c>
      <c r="K98" s="32">
        <f t="shared" si="84"/>
        <v>0</v>
      </c>
      <c r="L98" s="33"/>
      <c r="M98" s="34">
        <f t="shared" si="82"/>
        <v>24500</v>
      </c>
      <c r="N98" s="35">
        <f t="shared" si="85"/>
        <v>196000</v>
      </c>
      <c r="O98" s="35">
        <f t="shared" si="86"/>
        <v>0</v>
      </c>
      <c r="P98" s="35">
        <f>O83</f>
        <v>38000</v>
      </c>
      <c r="Q98" s="35">
        <f t="shared" si="87"/>
        <v>234000</v>
      </c>
    </row>
    <row r="99" spans="1:17" ht="15" customHeight="1" x14ac:dyDescent="0.25">
      <c r="A99" s="26">
        <v>14</v>
      </c>
      <c r="B99" s="14">
        <v>45975</v>
      </c>
      <c r="C99" s="14" t="s">
        <v>26</v>
      </c>
      <c r="D99" s="15" t="s">
        <v>18</v>
      </c>
      <c r="E99" s="22">
        <v>0.33333333333333331</v>
      </c>
      <c r="F99" s="120">
        <v>45975.333333333336</v>
      </c>
      <c r="G99" s="120">
        <v>45975.708333333336</v>
      </c>
      <c r="H99" s="29">
        <v>1</v>
      </c>
      <c r="I99" s="30">
        <f t="shared" si="83"/>
        <v>8</v>
      </c>
      <c r="J99" s="31">
        <v>8</v>
      </c>
      <c r="K99" s="32">
        <f t="shared" si="84"/>
        <v>0</v>
      </c>
      <c r="L99" s="33"/>
      <c r="M99" s="34">
        <f t="shared" si="82"/>
        <v>24500</v>
      </c>
      <c r="N99" s="35">
        <f t="shared" si="85"/>
        <v>196000</v>
      </c>
      <c r="O99" s="35">
        <f t="shared" si="86"/>
        <v>0</v>
      </c>
      <c r="P99" s="35">
        <f>O83</f>
        <v>38000</v>
      </c>
      <c r="Q99" s="35">
        <f t="shared" si="87"/>
        <v>234000</v>
      </c>
    </row>
    <row r="100" spans="1:17" ht="15" customHeight="1" x14ac:dyDescent="0.25">
      <c r="A100" s="26">
        <v>15</v>
      </c>
      <c r="B100" s="14">
        <v>45978</v>
      </c>
      <c r="C100" s="14" t="s">
        <v>27</v>
      </c>
      <c r="D100" s="15" t="s">
        <v>18</v>
      </c>
      <c r="E100" s="22">
        <v>0.33263888888888887</v>
      </c>
      <c r="F100" s="120">
        <v>45978.333333333336</v>
      </c>
      <c r="G100" s="120">
        <v>45978.708333333336</v>
      </c>
      <c r="H100" s="29">
        <v>1</v>
      </c>
      <c r="I100" s="30">
        <f t="shared" si="83"/>
        <v>8</v>
      </c>
      <c r="J100" s="31">
        <v>8</v>
      </c>
      <c r="K100" s="32">
        <f t="shared" si="84"/>
        <v>0</v>
      </c>
      <c r="L100" s="33"/>
      <c r="M100" s="34">
        <f t="shared" si="82"/>
        <v>24500</v>
      </c>
      <c r="N100" s="35">
        <f t="shared" si="85"/>
        <v>196000</v>
      </c>
      <c r="O100" s="35">
        <f t="shared" si="86"/>
        <v>0</v>
      </c>
      <c r="P100" s="35">
        <f>O83</f>
        <v>38000</v>
      </c>
      <c r="Q100" s="35">
        <f t="shared" si="87"/>
        <v>234000</v>
      </c>
    </row>
    <row r="101" spans="1:17" ht="15" customHeight="1" x14ac:dyDescent="0.25">
      <c r="A101" s="26">
        <v>16</v>
      </c>
      <c r="B101" s="14">
        <v>45979</v>
      </c>
      <c r="C101" s="14" t="s">
        <v>22</v>
      </c>
      <c r="D101" s="15" t="s">
        <v>18</v>
      </c>
      <c r="E101" s="22">
        <v>0.33402777777777776</v>
      </c>
      <c r="F101" s="120">
        <v>45979.334027777775</v>
      </c>
      <c r="G101" s="120">
        <v>45979.708333333336</v>
      </c>
      <c r="H101" s="29">
        <v>1</v>
      </c>
      <c r="I101" s="30">
        <f t="shared" ref="I101" si="88">((G101-F101)*24)-H101</f>
        <v>7.9833333334536292</v>
      </c>
      <c r="J101" s="31">
        <v>8</v>
      </c>
      <c r="K101" s="32">
        <f t="shared" ref="K101" si="89">I101-J101</f>
        <v>-1.6666666546370834E-2</v>
      </c>
      <c r="L101" s="33"/>
      <c r="M101" s="34">
        <f t="shared" si="82"/>
        <v>24500</v>
      </c>
      <c r="N101" s="35">
        <f t="shared" ref="N101" si="90">J101*M101</f>
        <v>196000</v>
      </c>
      <c r="O101" s="35">
        <f t="shared" ref="O101" si="91">L101*M101</f>
        <v>0</v>
      </c>
      <c r="P101" s="35">
        <f>O83</f>
        <v>38000</v>
      </c>
      <c r="Q101" s="35">
        <f t="shared" ref="Q101" si="92">N101+O101+P101</f>
        <v>234000</v>
      </c>
    </row>
    <row r="102" spans="1:17" ht="15" customHeight="1" x14ac:dyDescent="0.25">
      <c r="A102" s="26">
        <v>17</v>
      </c>
      <c r="B102" s="14">
        <v>45980</v>
      </c>
      <c r="C102" s="14" t="s">
        <v>28</v>
      </c>
      <c r="D102" s="15" t="s">
        <v>18</v>
      </c>
      <c r="E102" s="22">
        <v>0.33124999999999999</v>
      </c>
      <c r="F102" s="120">
        <v>45980.333333333336</v>
      </c>
      <c r="G102" s="120">
        <v>45980.708333333336</v>
      </c>
      <c r="H102" s="29">
        <v>1</v>
      </c>
      <c r="I102" s="30">
        <f t="shared" ref="I102" si="93">((G102-F102)*24)-H102</f>
        <v>8</v>
      </c>
      <c r="J102" s="31">
        <v>8</v>
      </c>
      <c r="K102" s="32">
        <f t="shared" ref="K102" si="94">I102-J102</f>
        <v>0</v>
      </c>
      <c r="L102" s="33"/>
      <c r="M102" s="34">
        <f t="shared" si="82"/>
        <v>24500</v>
      </c>
      <c r="N102" s="35">
        <f t="shared" ref="N102" si="95">J102*M102</f>
        <v>196000</v>
      </c>
      <c r="O102" s="35">
        <f t="shared" ref="O102" si="96">L102*M102</f>
        <v>0</v>
      </c>
      <c r="P102" s="35">
        <f>O83</f>
        <v>38000</v>
      </c>
      <c r="Q102" s="35">
        <f t="shared" ref="Q102" si="97">N102+O102+P102</f>
        <v>234000</v>
      </c>
    </row>
    <row r="103" spans="1:17" ht="15" customHeight="1" x14ac:dyDescent="0.25">
      <c r="A103" s="26">
        <v>18</v>
      </c>
      <c r="B103" s="14">
        <v>45981</v>
      </c>
      <c r="C103" s="14" t="s">
        <v>25</v>
      </c>
      <c r="D103" s="15" t="s">
        <v>18</v>
      </c>
      <c r="E103" s="22">
        <v>0.33333333333333331</v>
      </c>
      <c r="F103" s="120">
        <v>45981.333333333336</v>
      </c>
      <c r="G103" s="120">
        <v>45981.708333333336</v>
      </c>
      <c r="H103" s="29">
        <v>1</v>
      </c>
      <c r="I103" s="30">
        <f t="shared" ref="I103" si="98">((G103-F103)*24)-H103</f>
        <v>8</v>
      </c>
      <c r="J103" s="31">
        <v>8</v>
      </c>
      <c r="K103" s="32">
        <f t="shared" ref="K103" si="99">I103-J103</f>
        <v>0</v>
      </c>
      <c r="L103" s="33"/>
      <c r="M103" s="34">
        <f t="shared" si="82"/>
        <v>24500</v>
      </c>
      <c r="N103" s="35">
        <f t="shared" ref="N103" si="100">J103*M103</f>
        <v>196000</v>
      </c>
      <c r="O103" s="35">
        <f t="shared" ref="O103" si="101">L103*M103</f>
        <v>0</v>
      </c>
      <c r="P103" s="35">
        <f>O83</f>
        <v>38000</v>
      </c>
      <c r="Q103" s="35">
        <f t="shared" ref="Q103" si="102">N103+O103+P103</f>
        <v>234000</v>
      </c>
    </row>
    <row r="104" spans="1:17" ht="15" customHeight="1" x14ac:dyDescent="0.25">
      <c r="A104" s="26">
        <v>19</v>
      </c>
      <c r="B104" s="14">
        <v>45982</v>
      </c>
      <c r="C104" s="14" t="s">
        <v>26</v>
      </c>
      <c r="D104" s="15" t="s">
        <v>18</v>
      </c>
      <c r="E104" s="22">
        <v>0.33680555555555558</v>
      </c>
      <c r="F104" s="120">
        <v>45982.333333333336</v>
      </c>
      <c r="G104" s="120">
        <v>45982.708333333336</v>
      </c>
      <c r="H104" s="29">
        <v>1</v>
      </c>
      <c r="I104" s="30">
        <f t="shared" ref="I104" si="103">((G104-F104)*24)-H104</f>
        <v>8</v>
      </c>
      <c r="J104" s="31">
        <v>8</v>
      </c>
      <c r="K104" s="32">
        <f t="shared" ref="K104" si="104">I104-J104</f>
        <v>0</v>
      </c>
      <c r="L104" s="33"/>
      <c r="M104" s="34">
        <f t="shared" si="82"/>
        <v>24500</v>
      </c>
      <c r="N104" s="35">
        <f t="shared" ref="N104" si="105">J104*M104</f>
        <v>196000</v>
      </c>
      <c r="O104" s="35">
        <f t="shared" ref="O104" si="106">L104*M104</f>
        <v>0</v>
      </c>
      <c r="P104" s="35">
        <f>O83</f>
        <v>38000</v>
      </c>
      <c r="Q104" s="35">
        <f t="shared" ref="Q104" si="107">N104+O104+P104</f>
        <v>234000</v>
      </c>
    </row>
    <row r="105" spans="1:17" ht="15" customHeight="1" x14ac:dyDescent="0.25">
      <c r="A105" s="26">
        <v>20</v>
      </c>
      <c r="B105" s="14">
        <v>45985</v>
      </c>
      <c r="C105" s="14" t="s">
        <v>27</v>
      </c>
      <c r="D105" s="15" t="s">
        <v>18</v>
      </c>
      <c r="E105" s="22">
        <v>0.33402777777777776</v>
      </c>
      <c r="F105" s="120">
        <v>45986.334027777775</v>
      </c>
      <c r="G105" s="120">
        <v>45986.708333333336</v>
      </c>
      <c r="H105" s="29">
        <v>1</v>
      </c>
      <c r="I105" s="30">
        <f t="shared" ref="I105" si="108">((G105-F105)*24)-H105</f>
        <v>7.9833333334536292</v>
      </c>
      <c r="J105" s="31">
        <v>8</v>
      </c>
      <c r="K105" s="32">
        <f t="shared" ref="K105" si="109">I105-J105</f>
        <v>-1.6666666546370834E-2</v>
      </c>
      <c r="L105" s="33"/>
      <c r="M105" s="34">
        <f t="shared" si="82"/>
        <v>24500</v>
      </c>
      <c r="N105" s="35">
        <f t="shared" ref="N105" si="110">J105*M105</f>
        <v>196000</v>
      </c>
      <c r="O105" s="35">
        <f t="shared" ref="O105" si="111">L105*M105</f>
        <v>0</v>
      </c>
      <c r="P105" s="35">
        <f>O83</f>
        <v>38000</v>
      </c>
      <c r="Q105" s="35">
        <f t="shared" ref="Q105" si="112">N105+O105+P105</f>
        <v>234000</v>
      </c>
    </row>
    <row r="106" spans="1:17" ht="15" customHeight="1" x14ac:dyDescent="0.25">
      <c r="A106" s="26">
        <v>21</v>
      </c>
      <c r="B106" s="14">
        <v>45986</v>
      </c>
      <c r="C106" s="14" t="s">
        <v>22</v>
      </c>
      <c r="D106" s="15" t="s">
        <v>18</v>
      </c>
      <c r="E106" s="22">
        <v>0.33402777777777776</v>
      </c>
      <c r="F106" s="120">
        <v>45986.334027777775</v>
      </c>
      <c r="G106" s="120">
        <v>45986.708333333336</v>
      </c>
      <c r="H106" s="29">
        <v>1</v>
      </c>
      <c r="I106" s="30">
        <f t="shared" ref="I106" si="113">((G106-F106)*24)-H106</f>
        <v>7.9833333334536292</v>
      </c>
      <c r="J106" s="31">
        <v>8</v>
      </c>
      <c r="K106" s="32">
        <f t="shared" ref="K106" si="114">I106-J106</f>
        <v>-1.6666666546370834E-2</v>
      </c>
      <c r="L106" s="33"/>
      <c r="M106" s="34">
        <f t="shared" si="82"/>
        <v>24500</v>
      </c>
      <c r="N106" s="35">
        <f t="shared" ref="N106" si="115">J106*M106</f>
        <v>196000</v>
      </c>
      <c r="O106" s="35">
        <f t="shared" ref="O106" si="116">L106*M106</f>
        <v>0</v>
      </c>
      <c r="P106" s="35">
        <f>O83</f>
        <v>38000</v>
      </c>
      <c r="Q106" s="35">
        <f t="shared" ref="Q106" si="117">N106+O106+P106</f>
        <v>234000</v>
      </c>
    </row>
    <row r="107" spans="1:17" ht="15" customHeight="1" x14ac:dyDescent="0.25">
      <c r="A107" s="26">
        <v>22</v>
      </c>
      <c r="B107" s="14">
        <v>45987</v>
      </c>
      <c r="C107" s="14" t="s">
        <v>28</v>
      </c>
      <c r="D107" s="15" t="s">
        <v>18</v>
      </c>
      <c r="E107" s="22">
        <v>0.33402777777777776</v>
      </c>
      <c r="F107" s="120">
        <v>45987.334027777775</v>
      </c>
      <c r="G107" s="120">
        <v>45987.708333333336</v>
      </c>
      <c r="H107" s="29">
        <v>1</v>
      </c>
      <c r="I107" s="30">
        <f t="shared" ref="I107" si="118">((G107-F107)*24)-H107</f>
        <v>7.9833333334536292</v>
      </c>
      <c r="J107" s="31">
        <v>8</v>
      </c>
      <c r="K107" s="32">
        <f t="shared" ref="K107" si="119">I107-J107</f>
        <v>-1.6666666546370834E-2</v>
      </c>
      <c r="L107" s="33"/>
      <c r="M107" s="34">
        <f t="shared" si="82"/>
        <v>24500</v>
      </c>
      <c r="N107" s="35">
        <f t="shared" ref="N107" si="120">J107*M107</f>
        <v>196000</v>
      </c>
      <c r="O107" s="35">
        <f t="shared" ref="O107" si="121">L107*M107</f>
        <v>0</v>
      </c>
      <c r="P107" s="35">
        <f>O83</f>
        <v>38000</v>
      </c>
      <c r="Q107" s="35">
        <f t="shared" ref="Q107" si="122">N107+O107+P107</f>
        <v>234000</v>
      </c>
    </row>
    <row r="108" spans="1:17" ht="15" customHeight="1" x14ac:dyDescent="0.25">
      <c r="A108" s="26">
        <v>23</v>
      </c>
      <c r="B108" s="14">
        <v>45988</v>
      </c>
      <c r="C108" s="14" t="s">
        <v>25</v>
      </c>
      <c r="D108" s="15" t="s">
        <v>18</v>
      </c>
      <c r="E108" s="22">
        <v>0.3347222222222222</v>
      </c>
      <c r="F108" s="120">
        <v>45988.334722222222</v>
      </c>
      <c r="G108" s="120">
        <v>45988.708333333336</v>
      </c>
      <c r="H108" s="29">
        <v>1</v>
      </c>
      <c r="I108" s="30">
        <f t="shared" si="81"/>
        <v>7.9666666667326353</v>
      </c>
      <c r="J108" s="31">
        <v>8</v>
      </c>
      <c r="K108" s="32">
        <f t="shared" si="77"/>
        <v>-3.3333333267364651E-2</v>
      </c>
      <c r="L108" s="33">
        <v>0</v>
      </c>
      <c r="M108" s="34">
        <f t="shared" si="82"/>
        <v>24500</v>
      </c>
      <c r="N108" s="35">
        <f t="shared" si="78"/>
        <v>196000</v>
      </c>
      <c r="O108" s="35">
        <f t="shared" si="79"/>
        <v>0</v>
      </c>
      <c r="P108" s="35">
        <f>O83</f>
        <v>38000</v>
      </c>
      <c r="Q108" s="35">
        <f t="shared" si="80"/>
        <v>234000</v>
      </c>
    </row>
    <row r="109" spans="1:17" ht="15" customHeight="1" x14ac:dyDescent="0.25">
      <c r="A109" s="189" t="s">
        <v>19</v>
      </c>
      <c r="B109" s="190"/>
      <c r="C109" s="191"/>
      <c r="D109" s="43"/>
      <c r="E109" s="43"/>
      <c r="F109" s="52"/>
      <c r="G109" s="53"/>
      <c r="H109" s="44"/>
      <c r="I109" s="45"/>
      <c r="J109" s="46"/>
      <c r="K109" s="47"/>
      <c r="L109" s="48"/>
      <c r="M109" s="49"/>
      <c r="N109" s="50">
        <f>SUM(N86:N108)</f>
        <v>4238500</v>
      </c>
      <c r="O109" s="50">
        <f>SUM(O86:O108)</f>
        <v>1462649.9999817461</v>
      </c>
      <c r="P109" s="50">
        <f>SUM(P86:P108)</f>
        <v>874000</v>
      </c>
      <c r="Q109" s="50">
        <f>SUM(Q86:Q108)</f>
        <v>6575149.9999817461</v>
      </c>
    </row>
    <row r="110" spans="1:17" ht="15" customHeight="1" x14ac:dyDescent="0.25">
      <c r="A110" s="79"/>
      <c r="B110" s="79"/>
      <c r="C110" s="79"/>
      <c r="D110" s="64"/>
      <c r="E110" s="64"/>
      <c r="F110" s="80"/>
      <c r="G110" s="81"/>
      <c r="H110" s="82"/>
      <c r="I110" s="115"/>
      <c r="J110" s="83"/>
      <c r="K110" s="84"/>
      <c r="L110" s="85"/>
      <c r="M110" s="86"/>
      <c r="N110" s="197" t="s">
        <v>44</v>
      </c>
      <c r="O110" s="198"/>
      <c r="P110" s="199"/>
      <c r="Q110" s="50">
        <f>15*40000</f>
        <v>600000</v>
      </c>
    </row>
    <row r="111" spans="1:17" ht="15" customHeight="1" x14ac:dyDescent="0.25">
      <c r="A111" s="54"/>
      <c r="B111" s="55"/>
      <c r="C111" s="55"/>
      <c r="D111" s="56"/>
      <c r="E111" s="56"/>
      <c r="F111" s="57"/>
      <c r="G111" s="58"/>
      <c r="H111" s="59"/>
      <c r="I111" s="238"/>
      <c r="J111" s="238"/>
      <c r="K111" s="238"/>
      <c r="L111" s="239"/>
      <c r="M111" s="240"/>
      <c r="N111" s="197" t="s">
        <v>35</v>
      </c>
      <c r="O111" s="198"/>
      <c r="P111" s="199"/>
      <c r="Q111" s="61">
        <f>SUM(Q109:Q110)</f>
        <v>7175149.9999817461</v>
      </c>
    </row>
    <row r="112" spans="1:17" ht="15" customHeight="1" x14ac:dyDescent="0.25">
      <c r="A112" s="54"/>
      <c r="B112" s="55"/>
      <c r="C112" s="55"/>
      <c r="D112" s="56"/>
      <c r="E112" s="56"/>
      <c r="F112" s="57"/>
      <c r="G112" s="58"/>
      <c r="H112" s="59"/>
      <c r="I112" s="243"/>
      <c r="J112" s="243"/>
      <c r="K112" s="243"/>
      <c r="L112" s="244"/>
      <c r="M112" s="169"/>
      <c r="N112" s="197" t="s">
        <v>46</v>
      </c>
      <c r="O112" s="198"/>
      <c r="P112" s="199"/>
      <c r="Q112" s="61">
        <v>0</v>
      </c>
    </row>
    <row r="113" spans="1:17" ht="15" customHeight="1" x14ac:dyDescent="0.25">
      <c r="A113" s="54"/>
      <c r="B113" s="55"/>
      <c r="C113" s="55"/>
      <c r="D113" s="56"/>
      <c r="E113" s="56"/>
      <c r="F113" s="57"/>
      <c r="G113" s="58"/>
      <c r="H113" s="59"/>
      <c r="I113" s="238"/>
      <c r="J113" s="238"/>
      <c r="K113" s="238"/>
      <c r="L113" s="239"/>
      <c r="M113" s="240"/>
      <c r="N113" s="197" t="s">
        <v>37</v>
      </c>
      <c r="O113" s="198"/>
      <c r="P113" s="199"/>
      <c r="Q113" s="61">
        <f>5219263*0.01</f>
        <v>52192.630000000005</v>
      </c>
    </row>
    <row r="114" spans="1:17" ht="15" customHeight="1" x14ac:dyDescent="0.25">
      <c r="A114" s="54"/>
      <c r="B114" s="55"/>
      <c r="C114" s="55"/>
      <c r="D114" s="56"/>
      <c r="E114" s="56"/>
      <c r="F114" s="57"/>
      <c r="G114" s="58"/>
      <c r="H114" s="59"/>
      <c r="I114" s="243"/>
      <c r="J114" s="243"/>
      <c r="K114" s="243"/>
      <c r="L114" s="244"/>
      <c r="M114" s="169"/>
      <c r="N114" s="216" t="s">
        <v>38</v>
      </c>
      <c r="O114" s="217"/>
      <c r="P114" s="217"/>
      <c r="Q114" s="60">
        <v>60000</v>
      </c>
    </row>
    <row r="115" spans="1:17" ht="15" customHeight="1" x14ac:dyDescent="0.25">
      <c r="A115" s="54"/>
      <c r="B115" s="55"/>
      <c r="C115" s="55"/>
      <c r="D115" s="56"/>
      <c r="E115" s="56"/>
      <c r="F115" s="57"/>
      <c r="G115" s="58"/>
      <c r="H115" s="59"/>
      <c r="I115" s="238"/>
      <c r="J115" s="238"/>
      <c r="K115" s="238"/>
      <c r="L115" s="239"/>
      <c r="M115" s="240"/>
      <c r="N115" s="218" t="s">
        <v>35</v>
      </c>
      <c r="O115" s="219"/>
      <c r="P115" s="220"/>
      <c r="Q115" s="71">
        <f>Q111-Q112-Q113-Q114</f>
        <v>7062957.3699817462</v>
      </c>
    </row>
    <row r="116" spans="1:17" ht="15" customHeight="1" x14ac:dyDescent="0.25">
      <c r="A116" s="54"/>
      <c r="B116" s="55"/>
      <c r="C116" s="55"/>
      <c r="D116" s="56"/>
      <c r="E116" s="56"/>
      <c r="F116" s="57"/>
      <c r="G116" s="58"/>
      <c r="H116" s="59"/>
      <c r="I116" s="59"/>
      <c r="J116" s="54"/>
      <c r="K116" s="54"/>
      <c r="L116" s="54"/>
      <c r="M116" s="54"/>
      <c r="N116" s="221"/>
      <c r="O116" s="221"/>
      <c r="P116" s="221"/>
      <c r="Q116" s="87"/>
    </row>
    <row r="117" spans="1:17" ht="15" customHeight="1" x14ac:dyDescent="0.25">
      <c r="A117" s="54"/>
      <c r="B117" s="55"/>
      <c r="C117" s="55"/>
      <c r="D117" s="56"/>
      <c r="E117" s="56"/>
      <c r="F117" s="57"/>
      <c r="G117" s="58"/>
      <c r="H117" s="59"/>
      <c r="I117" s="59"/>
      <c r="J117" s="54"/>
      <c r="K117" s="54"/>
      <c r="L117" s="54"/>
      <c r="M117" s="54"/>
      <c r="N117" s="215"/>
      <c r="O117" s="215"/>
      <c r="P117" s="215"/>
      <c r="Q117" s="88"/>
    </row>
    <row r="118" spans="1:17" ht="15" customHeight="1" x14ac:dyDescent="0.25">
      <c r="A118" s="54"/>
      <c r="B118" s="55"/>
      <c r="C118" s="55"/>
      <c r="D118" s="56"/>
      <c r="E118" s="56"/>
      <c r="F118" s="57"/>
      <c r="G118" s="58"/>
      <c r="H118" s="59"/>
      <c r="I118" s="59"/>
      <c r="J118" s="54"/>
      <c r="K118" s="54"/>
      <c r="L118" s="54"/>
      <c r="M118" s="54"/>
      <c r="N118" s="54"/>
      <c r="O118" s="54"/>
      <c r="P118" s="54"/>
      <c r="Q118" s="77"/>
    </row>
    <row r="119" spans="1:17" ht="15" customHeight="1" x14ac:dyDescent="0.25">
      <c r="Q119" s="70"/>
    </row>
    <row r="120" spans="1:17" ht="15" customHeight="1" x14ac:dyDescent="0.25">
      <c r="Q120" s="70"/>
    </row>
    <row r="121" spans="1:17" ht="15" customHeight="1" x14ac:dyDescent="0.25">
      <c r="Q121" s="70"/>
    </row>
    <row r="122" spans="1:17" ht="15" customHeight="1" x14ac:dyDescent="0.25">
      <c r="Q122" s="70"/>
    </row>
    <row r="123" spans="1:17" ht="15" customHeight="1" x14ac:dyDescent="0.25">
      <c r="Q123" s="70"/>
    </row>
    <row r="124" spans="1:17" ht="15" customHeight="1" x14ac:dyDescent="0.25">
      <c r="Q124" s="70"/>
    </row>
    <row r="125" spans="1:17" ht="15" customHeight="1" x14ac:dyDescent="0.25">
      <c r="A125" s="54"/>
      <c r="B125" s="64" t="s">
        <v>0</v>
      </c>
      <c r="C125" s="65"/>
      <c r="D125" s="66" t="s">
        <v>39</v>
      </c>
      <c r="E125" s="66"/>
      <c r="F125" s="65"/>
      <c r="G125" s="66"/>
      <c r="H125" s="66"/>
      <c r="I125" s="66"/>
      <c r="J125" s="66"/>
      <c r="K125" s="66"/>
      <c r="L125" s="66"/>
      <c r="M125" s="66" t="s">
        <v>21</v>
      </c>
      <c r="N125" s="65" t="s">
        <v>20</v>
      </c>
      <c r="O125" s="67">
        <v>21750</v>
      </c>
      <c r="P125" s="68" t="s">
        <v>23</v>
      </c>
      <c r="Q125" s="66"/>
    </row>
    <row r="126" spans="1:17" ht="15" customHeight="1" x14ac:dyDescent="0.25">
      <c r="A126" s="54"/>
      <c r="B126" s="64" t="s">
        <v>1</v>
      </c>
      <c r="C126" s="65"/>
      <c r="D126" s="66" t="s">
        <v>40</v>
      </c>
      <c r="E126" s="66"/>
      <c r="F126" s="65"/>
      <c r="G126" s="66"/>
      <c r="H126" s="66"/>
      <c r="I126" s="66"/>
      <c r="J126" s="66"/>
      <c r="K126" s="66"/>
      <c r="L126" s="66"/>
      <c r="M126" s="66" t="s">
        <v>2</v>
      </c>
      <c r="N126" s="65" t="s">
        <v>20</v>
      </c>
      <c r="O126" s="67">
        <f>37000+1000</f>
        <v>38000</v>
      </c>
      <c r="P126" s="68" t="s">
        <v>24</v>
      </c>
      <c r="Q126" s="66"/>
    </row>
    <row r="127" spans="1:17" ht="15" customHeight="1" x14ac:dyDescent="0.25">
      <c r="A127" s="203" t="s">
        <v>36</v>
      </c>
      <c r="B127" s="241" t="s">
        <v>3</v>
      </c>
      <c r="C127" s="241" t="s">
        <v>4</v>
      </c>
      <c r="D127" s="206" t="s">
        <v>5</v>
      </c>
      <c r="E127" s="206" t="s">
        <v>34</v>
      </c>
      <c r="F127" s="203" t="s">
        <v>6</v>
      </c>
      <c r="G127" s="208" t="s">
        <v>7</v>
      </c>
      <c r="H127" s="206" t="s">
        <v>8</v>
      </c>
      <c r="I127" s="234" t="s">
        <v>9</v>
      </c>
      <c r="J127" s="206" t="s">
        <v>10</v>
      </c>
      <c r="K127" s="206" t="s">
        <v>11</v>
      </c>
      <c r="L127" s="206" t="s">
        <v>12</v>
      </c>
      <c r="M127" s="206" t="s">
        <v>13</v>
      </c>
      <c r="N127" s="206" t="s">
        <v>14</v>
      </c>
      <c r="O127" s="206" t="s">
        <v>15</v>
      </c>
      <c r="P127" s="206" t="s">
        <v>16</v>
      </c>
      <c r="Q127" s="206" t="s">
        <v>17</v>
      </c>
    </row>
    <row r="128" spans="1:17" ht="15" customHeight="1" x14ac:dyDescent="0.25">
      <c r="A128" s="204"/>
      <c r="B128" s="242"/>
      <c r="C128" s="242"/>
      <c r="D128" s="207"/>
      <c r="E128" s="207"/>
      <c r="F128" s="204"/>
      <c r="G128" s="209"/>
      <c r="H128" s="207"/>
      <c r="I128" s="235"/>
      <c r="J128" s="207"/>
      <c r="K128" s="207"/>
      <c r="L128" s="207"/>
      <c r="M128" s="207"/>
      <c r="N128" s="207"/>
      <c r="O128" s="207"/>
      <c r="P128" s="207"/>
      <c r="Q128" s="207"/>
    </row>
    <row r="129" spans="1:17" ht="15" customHeight="1" x14ac:dyDescent="0.25">
      <c r="A129" s="26">
        <v>1</v>
      </c>
      <c r="B129" s="14">
        <v>45960</v>
      </c>
      <c r="C129" s="14" t="s">
        <v>25</v>
      </c>
      <c r="D129" s="15" t="s">
        <v>18</v>
      </c>
      <c r="E129" s="22">
        <v>0.33055555555555555</v>
      </c>
      <c r="F129" s="120">
        <v>45960.333333333336</v>
      </c>
      <c r="G129" s="120">
        <v>45960.875</v>
      </c>
      <c r="H129" s="29">
        <v>2</v>
      </c>
      <c r="I129" s="30">
        <f t="shared" ref="I129:I148" si="123">((G129-F129)*24)-H129</f>
        <v>10.999999999941792</v>
      </c>
      <c r="J129" s="31">
        <v>8</v>
      </c>
      <c r="K129" s="32">
        <f>I129-J129</f>
        <v>2.9999999999417923</v>
      </c>
      <c r="L129" s="33">
        <f>K129*2-0.5</f>
        <v>5.4999999998835847</v>
      </c>
      <c r="M129" s="34">
        <f>$O125</f>
        <v>21750</v>
      </c>
      <c r="N129" s="35">
        <f t="shared" ref="N129:N132" si="124">J129*M129</f>
        <v>174000</v>
      </c>
      <c r="O129" s="35">
        <f t="shared" ref="O129:O133" si="125">L129*M129</f>
        <v>119624.99999746797</v>
      </c>
      <c r="P129" s="35">
        <f>O126</f>
        <v>38000</v>
      </c>
      <c r="Q129" s="35">
        <f>N129+O129+P129</f>
        <v>331624.99999746797</v>
      </c>
    </row>
    <row r="130" spans="1:17" ht="15" customHeight="1" x14ac:dyDescent="0.25">
      <c r="A130" s="26">
        <v>2</v>
      </c>
      <c r="B130" s="14">
        <v>45961</v>
      </c>
      <c r="C130" s="14" t="s">
        <v>26</v>
      </c>
      <c r="D130" s="15" t="s">
        <v>18</v>
      </c>
      <c r="E130" s="22">
        <v>0.31944444444444442</v>
      </c>
      <c r="F130" s="120">
        <v>45961.333333333336</v>
      </c>
      <c r="G130" s="120">
        <v>45961.791666666664</v>
      </c>
      <c r="H130" s="29">
        <v>1</v>
      </c>
      <c r="I130" s="30">
        <f t="shared" si="123"/>
        <v>9.9999999998835847</v>
      </c>
      <c r="J130" s="31">
        <v>8</v>
      </c>
      <c r="K130" s="32">
        <f t="shared" ref="K130:K133" si="126">I130-J130</f>
        <v>1.9999999998835847</v>
      </c>
      <c r="L130" s="33">
        <f>K130*2-0.5</f>
        <v>3.4999999997671694</v>
      </c>
      <c r="M130" s="34">
        <f>$O125</f>
        <v>21750</v>
      </c>
      <c r="N130" s="35">
        <f t="shared" si="124"/>
        <v>174000</v>
      </c>
      <c r="O130" s="35">
        <f t="shared" si="125"/>
        <v>76124.999994935934</v>
      </c>
      <c r="P130" s="35">
        <f>O126</f>
        <v>38000</v>
      </c>
      <c r="Q130" s="35">
        <f t="shared" ref="Q130:Q133" si="127">N130+O130+P130</f>
        <v>288124.99999493593</v>
      </c>
    </row>
    <row r="131" spans="1:17" ht="15" customHeight="1" x14ac:dyDescent="0.25">
      <c r="A131" s="26">
        <v>3</v>
      </c>
      <c r="B131" s="14">
        <v>45964</v>
      </c>
      <c r="C131" s="14" t="s">
        <v>27</v>
      </c>
      <c r="D131" s="15" t="s">
        <v>18</v>
      </c>
      <c r="E131" s="22">
        <v>0.32500000000000001</v>
      </c>
      <c r="F131" s="120">
        <v>45964.333333333336</v>
      </c>
      <c r="G131" s="120">
        <v>45964.708333333336</v>
      </c>
      <c r="H131" s="29">
        <v>1</v>
      </c>
      <c r="I131" s="30">
        <f t="shared" si="123"/>
        <v>8</v>
      </c>
      <c r="J131" s="31">
        <v>8</v>
      </c>
      <c r="K131" s="32">
        <f t="shared" si="126"/>
        <v>0</v>
      </c>
      <c r="L131" s="33">
        <v>0</v>
      </c>
      <c r="M131" s="34">
        <f>$O125</f>
        <v>21750</v>
      </c>
      <c r="N131" s="35">
        <f t="shared" si="124"/>
        <v>174000</v>
      </c>
      <c r="O131" s="35">
        <f t="shared" si="125"/>
        <v>0</v>
      </c>
      <c r="P131" s="35">
        <f>O126</f>
        <v>38000</v>
      </c>
      <c r="Q131" s="35">
        <f t="shared" si="127"/>
        <v>212000</v>
      </c>
    </row>
    <row r="132" spans="1:17" ht="15" customHeight="1" x14ac:dyDescent="0.25">
      <c r="A132" s="26">
        <v>4</v>
      </c>
      <c r="B132" s="14">
        <v>45965</v>
      </c>
      <c r="C132" s="14" t="s">
        <v>22</v>
      </c>
      <c r="D132" s="15" t="s">
        <v>18</v>
      </c>
      <c r="E132" s="22">
        <v>0.32430555555555557</v>
      </c>
      <c r="F132" s="120">
        <v>45965.333333333336</v>
      </c>
      <c r="G132" s="120">
        <v>45965.708333333336</v>
      </c>
      <c r="H132" s="29">
        <v>1</v>
      </c>
      <c r="I132" s="30">
        <f t="shared" si="123"/>
        <v>8</v>
      </c>
      <c r="J132" s="31">
        <v>8</v>
      </c>
      <c r="K132" s="32">
        <f t="shared" si="126"/>
        <v>0</v>
      </c>
      <c r="L132" s="33">
        <v>0</v>
      </c>
      <c r="M132" s="34">
        <f>$O125</f>
        <v>21750</v>
      </c>
      <c r="N132" s="35">
        <f t="shared" si="124"/>
        <v>174000</v>
      </c>
      <c r="O132" s="35">
        <f t="shared" si="125"/>
        <v>0</v>
      </c>
      <c r="P132" s="35">
        <f>O126</f>
        <v>38000</v>
      </c>
      <c r="Q132" s="35">
        <f t="shared" si="127"/>
        <v>212000</v>
      </c>
    </row>
    <row r="133" spans="1:17" ht="15" customHeight="1" x14ac:dyDescent="0.25">
      <c r="A133" s="26">
        <v>5</v>
      </c>
      <c r="B133" s="14">
        <v>45964</v>
      </c>
      <c r="C133" s="14" t="s">
        <v>28</v>
      </c>
      <c r="D133" s="15" t="s">
        <v>18</v>
      </c>
      <c r="E133" s="22">
        <v>0.31874999999999998</v>
      </c>
      <c r="F133" s="120">
        <v>45964.333333333336</v>
      </c>
      <c r="G133" s="120">
        <v>45964.875</v>
      </c>
      <c r="H133" s="29">
        <v>2</v>
      </c>
      <c r="I133" s="30">
        <f t="shared" si="123"/>
        <v>10.999999999941792</v>
      </c>
      <c r="J133" s="31">
        <v>8</v>
      </c>
      <c r="K133" s="32">
        <f t="shared" si="126"/>
        <v>2.9999999999417923</v>
      </c>
      <c r="L133" s="33">
        <f>K133*2-0.5</f>
        <v>5.4999999998835847</v>
      </c>
      <c r="M133" s="34">
        <f>$O125</f>
        <v>21750</v>
      </c>
      <c r="N133" s="35">
        <f>J133*M133</f>
        <v>174000</v>
      </c>
      <c r="O133" s="35">
        <f t="shared" si="125"/>
        <v>119624.99999746797</v>
      </c>
      <c r="P133" s="35">
        <f>O126</f>
        <v>38000</v>
      </c>
      <c r="Q133" s="35">
        <f t="shared" si="127"/>
        <v>331624.99999746797</v>
      </c>
    </row>
    <row r="134" spans="1:17" ht="15" customHeight="1" x14ac:dyDescent="0.25">
      <c r="A134" s="26">
        <v>6</v>
      </c>
      <c r="B134" s="14">
        <v>45967</v>
      </c>
      <c r="C134" s="14" t="s">
        <v>25</v>
      </c>
      <c r="D134" s="15" t="s">
        <v>18</v>
      </c>
      <c r="E134" s="22">
        <v>0.32083333333333336</v>
      </c>
      <c r="F134" s="120">
        <v>45967.333333333336</v>
      </c>
      <c r="G134" s="120">
        <v>45967.708333333336</v>
      </c>
      <c r="H134" s="29">
        <v>1</v>
      </c>
      <c r="I134" s="30">
        <f t="shared" si="123"/>
        <v>8</v>
      </c>
      <c r="J134" s="31">
        <v>8</v>
      </c>
      <c r="K134" s="32">
        <f t="shared" ref="K134:K139" si="128">I134-J134</f>
        <v>0</v>
      </c>
      <c r="L134" s="33">
        <v>0</v>
      </c>
      <c r="M134" s="34">
        <f>$O125</f>
        <v>21750</v>
      </c>
      <c r="N134" s="35">
        <f t="shared" ref="N134:N137" si="129">J134*M134</f>
        <v>174000</v>
      </c>
      <c r="O134" s="35">
        <f t="shared" ref="O134:O139" si="130">L134*M134</f>
        <v>0</v>
      </c>
      <c r="P134" s="35">
        <f>O126</f>
        <v>38000</v>
      </c>
      <c r="Q134" s="35">
        <f t="shared" ref="Q134:Q139" si="131">N134+O134+P134</f>
        <v>212000</v>
      </c>
    </row>
    <row r="135" spans="1:17" ht="15" customHeight="1" x14ac:dyDescent="0.25">
      <c r="A135" s="26">
        <v>7</v>
      </c>
      <c r="B135" s="14">
        <v>45968</v>
      </c>
      <c r="C135" s="14" t="s">
        <v>26</v>
      </c>
      <c r="D135" s="15" t="s">
        <v>18</v>
      </c>
      <c r="E135" s="22">
        <v>0.32361111111111113</v>
      </c>
      <c r="F135" s="120">
        <v>45968.333333333336</v>
      </c>
      <c r="G135" s="120">
        <v>45968.916666666664</v>
      </c>
      <c r="H135" s="29">
        <v>2</v>
      </c>
      <c r="I135" s="30">
        <f t="shared" si="123"/>
        <v>11.999999999883585</v>
      </c>
      <c r="J135" s="31">
        <v>8</v>
      </c>
      <c r="K135" s="32">
        <f t="shared" si="128"/>
        <v>3.9999999998835847</v>
      </c>
      <c r="L135" s="33">
        <f>K135*2-0.5</f>
        <v>7.4999999997671694</v>
      </c>
      <c r="M135" s="34">
        <f>$O125</f>
        <v>21750</v>
      </c>
      <c r="N135" s="35">
        <f t="shared" si="129"/>
        <v>174000</v>
      </c>
      <c r="O135" s="35">
        <f t="shared" si="130"/>
        <v>163124.99999493593</v>
      </c>
      <c r="P135" s="35">
        <f>O126</f>
        <v>38000</v>
      </c>
      <c r="Q135" s="35">
        <f t="shared" si="131"/>
        <v>375124.99999493593</v>
      </c>
    </row>
    <row r="136" spans="1:17" ht="15" customHeight="1" x14ac:dyDescent="0.25">
      <c r="A136" s="26">
        <v>8</v>
      </c>
      <c r="B136" s="14">
        <v>45969</v>
      </c>
      <c r="C136" s="14" t="s">
        <v>57</v>
      </c>
      <c r="D136" s="15" t="s">
        <v>18</v>
      </c>
      <c r="E136" s="22">
        <v>0.33055555555555555</v>
      </c>
      <c r="F136" s="120">
        <v>45969.333333333336</v>
      </c>
      <c r="G136" s="120">
        <v>45969.916666666664</v>
      </c>
      <c r="H136" s="29">
        <v>2</v>
      </c>
      <c r="I136" s="30">
        <f t="shared" si="123"/>
        <v>11.999999999883585</v>
      </c>
      <c r="J136" s="31">
        <v>5</v>
      </c>
      <c r="K136" s="32">
        <f t="shared" si="128"/>
        <v>6.9999999998835847</v>
      </c>
      <c r="L136" s="33">
        <f>K136*2-0.5</f>
        <v>13.499999999767169</v>
      </c>
      <c r="M136" s="34">
        <f>$O125</f>
        <v>21750</v>
      </c>
      <c r="N136" s="35">
        <f>J136*M136</f>
        <v>108750</v>
      </c>
      <c r="O136" s="35">
        <f t="shared" si="130"/>
        <v>293624.99999493593</v>
      </c>
      <c r="P136" s="35">
        <f>O126</f>
        <v>38000</v>
      </c>
      <c r="Q136" s="35">
        <f t="shared" si="131"/>
        <v>440374.99999493593</v>
      </c>
    </row>
    <row r="137" spans="1:17" ht="15" customHeight="1" x14ac:dyDescent="0.25">
      <c r="A137" s="139">
        <v>9</v>
      </c>
      <c r="B137" s="140">
        <v>45970</v>
      </c>
      <c r="C137" s="140" t="s">
        <v>54</v>
      </c>
      <c r="D137" s="141" t="s">
        <v>18</v>
      </c>
      <c r="E137" s="142">
        <v>0.32916666666666666</v>
      </c>
      <c r="F137" s="143">
        <v>45970.333333333336</v>
      </c>
      <c r="G137" s="143">
        <v>45970.708333333336</v>
      </c>
      <c r="H137" s="144">
        <v>1</v>
      </c>
      <c r="I137" s="145">
        <f t="shared" si="123"/>
        <v>8</v>
      </c>
      <c r="J137" s="146">
        <v>0</v>
      </c>
      <c r="K137" s="147">
        <f t="shared" si="128"/>
        <v>8</v>
      </c>
      <c r="L137" s="148">
        <f>K137*2</f>
        <v>16</v>
      </c>
      <c r="M137" s="149">
        <f>$O125</f>
        <v>21750</v>
      </c>
      <c r="N137" s="150">
        <f t="shared" si="129"/>
        <v>0</v>
      </c>
      <c r="O137" s="150">
        <f t="shared" si="130"/>
        <v>348000</v>
      </c>
      <c r="P137" s="150">
        <f>O126</f>
        <v>38000</v>
      </c>
      <c r="Q137" s="150">
        <f t="shared" si="131"/>
        <v>386000</v>
      </c>
    </row>
    <row r="138" spans="1:17" ht="15" customHeight="1" x14ac:dyDescent="0.25">
      <c r="A138" s="27">
        <v>10</v>
      </c>
      <c r="B138" s="14">
        <v>45972</v>
      </c>
      <c r="C138" s="14" t="s">
        <v>22</v>
      </c>
      <c r="D138" s="15" t="s">
        <v>18</v>
      </c>
      <c r="E138" s="22">
        <v>0.32569444444444445</v>
      </c>
      <c r="F138" s="120">
        <v>45972.333333333336</v>
      </c>
      <c r="G138" s="120">
        <v>45972.916666666664</v>
      </c>
      <c r="H138" s="16">
        <v>2</v>
      </c>
      <c r="I138" s="17">
        <f t="shared" ref="I138:I143" si="132">((G138-F138)*24)-H138</f>
        <v>11.999999999883585</v>
      </c>
      <c r="J138" s="18">
        <v>8</v>
      </c>
      <c r="K138" s="19">
        <f t="shared" si="128"/>
        <v>3.9999999998835847</v>
      </c>
      <c r="L138" s="21">
        <f>K138*2-0.5</f>
        <v>7.4999999997671694</v>
      </c>
      <c r="M138" s="10">
        <f>$O125</f>
        <v>21750</v>
      </c>
      <c r="N138" s="20">
        <f>J138*M138</f>
        <v>174000</v>
      </c>
      <c r="O138" s="20">
        <f t="shared" si="130"/>
        <v>163124.99999493593</v>
      </c>
      <c r="P138" s="20">
        <f>O126</f>
        <v>38000</v>
      </c>
      <c r="Q138" s="20">
        <f t="shared" si="131"/>
        <v>375124.99999493593</v>
      </c>
    </row>
    <row r="139" spans="1:17" ht="15" customHeight="1" x14ac:dyDescent="0.25">
      <c r="A139" s="26">
        <v>11</v>
      </c>
      <c r="B139" s="14">
        <v>45973</v>
      </c>
      <c r="C139" s="14" t="s">
        <v>28</v>
      </c>
      <c r="D139" s="15" t="s">
        <v>18</v>
      </c>
      <c r="E139" s="22">
        <v>0.33333333333333331</v>
      </c>
      <c r="F139" s="120">
        <v>45973.333333333336</v>
      </c>
      <c r="G139" s="120">
        <v>45973.708333333336</v>
      </c>
      <c r="H139" s="29">
        <v>1</v>
      </c>
      <c r="I139" s="30">
        <f t="shared" si="132"/>
        <v>8</v>
      </c>
      <c r="J139" s="31">
        <v>8</v>
      </c>
      <c r="K139" s="32">
        <f t="shared" si="128"/>
        <v>0</v>
      </c>
      <c r="L139" s="33">
        <v>0</v>
      </c>
      <c r="M139" s="34">
        <f>$O125</f>
        <v>21750</v>
      </c>
      <c r="N139" s="35">
        <f>J139*M139</f>
        <v>174000</v>
      </c>
      <c r="O139" s="35">
        <f t="shared" si="130"/>
        <v>0</v>
      </c>
      <c r="P139" s="35">
        <f>O126</f>
        <v>38000</v>
      </c>
      <c r="Q139" s="35">
        <f t="shared" si="131"/>
        <v>212000</v>
      </c>
    </row>
    <row r="140" spans="1:17" ht="15" customHeight="1" x14ac:dyDescent="0.25">
      <c r="A140" s="26">
        <v>12</v>
      </c>
      <c r="B140" s="14">
        <v>45974</v>
      </c>
      <c r="C140" s="14" t="s">
        <v>25</v>
      </c>
      <c r="D140" s="15" t="s">
        <v>18</v>
      </c>
      <c r="E140" s="22">
        <v>0.3298611111111111</v>
      </c>
      <c r="F140" s="120">
        <v>45974.333333333336</v>
      </c>
      <c r="G140" s="120">
        <v>45974.708333333336</v>
      </c>
      <c r="H140" s="29">
        <v>1</v>
      </c>
      <c r="I140" s="30">
        <f t="shared" si="132"/>
        <v>8</v>
      </c>
      <c r="J140" s="31">
        <v>8</v>
      </c>
      <c r="K140" s="32">
        <f t="shared" ref="K140:K143" si="133">I140-J140</f>
        <v>0</v>
      </c>
      <c r="L140" s="33">
        <v>0</v>
      </c>
      <c r="M140" s="34">
        <f>$O125</f>
        <v>21750</v>
      </c>
      <c r="N140" s="35">
        <f t="shared" ref="N140:N143" si="134">J140*M140</f>
        <v>174000</v>
      </c>
      <c r="O140" s="35">
        <f t="shared" ref="O140:O143" si="135">L140*M140</f>
        <v>0</v>
      </c>
      <c r="P140" s="35">
        <f>O126</f>
        <v>38000</v>
      </c>
      <c r="Q140" s="35">
        <f t="shared" ref="Q140:Q143" si="136">N140+O140+P140</f>
        <v>212000</v>
      </c>
    </row>
    <row r="141" spans="1:17" ht="15" customHeight="1" x14ac:dyDescent="0.25">
      <c r="A141" s="26">
        <v>13</v>
      </c>
      <c r="B141" s="14">
        <v>45975</v>
      </c>
      <c r="C141" s="14" t="s">
        <v>26</v>
      </c>
      <c r="D141" s="15" t="s">
        <v>18</v>
      </c>
      <c r="E141" s="22">
        <v>0.33055555555555555</v>
      </c>
      <c r="F141" s="120">
        <v>45975.333333333336</v>
      </c>
      <c r="G141" s="120">
        <v>45975.75</v>
      </c>
      <c r="H141" s="29">
        <v>1</v>
      </c>
      <c r="I141" s="30">
        <f t="shared" si="132"/>
        <v>8.9999999999417923</v>
      </c>
      <c r="J141" s="31">
        <v>8</v>
      </c>
      <c r="K141" s="32">
        <f t="shared" si="133"/>
        <v>0.99999999994179234</v>
      </c>
      <c r="L141" s="33">
        <f>K141*2-0.5</f>
        <v>1.4999999998835847</v>
      </c>
      <c r="M141" s="34">
        <f>$O125</f>
        <v>21750</v>
      </c>
      <c r="N141" s="35">
        <f t="shared" si="134"/>
        <v>174000</v>
      </c>
      <c r="O141" s="35">
        <f t="shared" si="135"/>
        <v>32624.999997467967</v>
      </c>
      <c r="P141" s="35">
        <f>O126</f>
        <v>38000</v>
      </c>
      <c r="Q141" s="35">
        <f t="shared" si="136"/>
        <v>244624.99999746797</v>
      </c>
    </row>
    <row r="142" spans="1:17" ht="15" customHeight="1" x14ac:dyDescent="0.25">
      <c r="A142" s="26">
        <v>14</v>
      </c>
      <c r="B142" s="14">
        <v>45978</v>
      </c>
      <c r="C142" s="14" t="s">
        <v>27</v>
      </c>
      <c r="D142" s="15" t="s">
        <v>18</v>
      </c>
      <c r="E142" s="22">
        <v>0.30625000000000002</v>
      </c>
      <c r="F142" s="120">
        <v>45978.333333333336</v>
      </c>
      <c r="G142" s="120">
        <v>45978.75</v>
      </c>
      <c r="H142" s="29">
        <v>1</v>
      </c>
      <c r="I142" s="30">
        <f t="shared" si="132"/>
        <v>8.9999999999417923</v>
      </c>
      <c r="J142" s="31">
        <v>8</v>
      </c>
      <c r="K142" s="32">
        <f t="shared" si="133"/>
        <v>0.99999999994179234</v>
      </c>
      <c r="L142" s="33">
        <f>K142*2-0.5</f>
        <v>1.4999999998835847</v>
      </c>
      <c r="M142" s="34">
        <f>$O125</f>
        <v>21750</v>
      </c>
      <c r="N142" s="35">
        <f t="shared" si="134"/>
        <v>174000</v>
      </c>
      <c r="O142" s="35">
        <f t="shared" si="135"/>
        <v>32624.999997467967</v>
      </c>
      <c r="P142" s="35">
        <f>O126</f>
        <v>38000</v>
      </c>
      <c r="Q142" s="35">
        <f t="shared" si="136"/>
        <v>244624.99999746797</v>
      </c>
    </row>
    <row r="143" spans="1:17" ht="15" customHeight="1" x14ac:dyDescent="0.25">
      <c r="A143" s="26">
        <v>15</v>
      </c>
      <c r="B143" s="14">
        <v>45979</v>
      </c>
      <c r="C143" s="14" t="s">
        <v>22</v>
      </c>
      <c r="D143" s="15" t="s">
        <v>18</v>
      </c>
      <c r="E143" s="22">
        <v>0.32777777777777778</v>
      </c>
      <c r="F143" s="120">
        <v>45979.333333333336</v>
      </c>
      <c r="G143" s="120">
        <v>45979.708333333336</v>
      </c>
      <c r="H143" s="29">
        <v>1</v>
      </c>
      <c r="I143" s="30">
        <f t="shared" si="132"/>
        <v>8</v>
      </c>
      <c r="J143" s="31">
        <v>8</v>
      </c>
      <c r="K143" s="32">
        <f t="shared" si="133"/>
        <v>0</v>
      </c>
      <c r="L143" s="33">
        <v>0</v>
      </c>
      <c r="M143" s="34">
        <f>$O125</f>
        <v>21750</v>
      </c>
      <c r="N143" s="35">
        <f t="shared" si="134"/>
        <v>174000</v>
      </c>
      <c r="O143" s="35">
        <f t="shared" si="135"/>
        <v>0</v>
      </c>
      <c r="P143" s="35">
        <f>O126</f>
        <v>38000</v>
      </c>
      <c r="Q143" s="35">
        <f t="shared" si="136"/>
        <v>212000</v>
      </c>
    </row>
    <row r="144" spans="1:17" ht="15" customHeight="1" x14ac:dyDescent="0.25">
      <c r="A144" s="26">
        <v>16</v>
      </c>
      <c r="B144" s="14">
        <v>45980</v>
      </c>
      <c r="C144" s="14" t="s">
        <v>28</v>
      </c>
      <c r="D144" s="15" t="s">
        <v>18</v>
      </c>
      <c r="E144" s="22">
        <v>0.33124999999999999</v>
      </c>
      <c r="F144" s="120">
        <v>45980.333333333336</v>
      </c>
      <c r="G144" s="120">
        <v>45980.708333333336</v>
      </c>
      <c r="H144" s="29">
        <v>1</v>
      </c>
      <c r="I144" s="30">
        <f t="shared" si="123"/>
        <v>8</v>
      </c>
      <c r="J144" s="31">
        <v>8</v>
      </c>
      <c r="K144" s="32">
        <f t="shared" ref="K144" si="137">I144-J144</f>
        <v>0</v>
      </c>
      <c r="L144" s="33">
        <v>0</v>
      </c>
      <c r="M144" s="34">
        <f>$O125</f>
        <v>21750</v>
      </c>
      <c r="N144" s="35">
        <f>J144*M144</f>
        <v>174000</v>
      </c>
      <c r="O144" s="35">
        <f t="shared" ref="O144" si="138">L144*M144</f>
        <v>0</v>
      </c>
      <c r="P144" s="35">
        <f>O126</f>
        <v>38000</v>
      </c>
      <c r="Q144" s="35">
        <f t="shared" ref="Q144" si="139">N144+O144+P144</f>
        <v>212000</v>
      </c>
    </row>
    <row r="145" spans="1:20" ht="15" customHeight="1" x14ac:dyDescent="0.25">
      <c r="A145" s="26">
        <v>17</v>
      </c>
      <c r="B145" s="14">
        <v>45981</v>
      </c>
      <c r="C145" s="14" t="s">
        <v>25</v>
      </c>
      <c r="D145" s="15" t="s">
        <v>18</v>
      </c>
      <c r="E145" s="22">
        <v>0.32500000000000001</v>
      </c>
      <c r="F145" s="120">
        <v>45981.333333333336</v>
      </c>
      <c r="G145" s="120">
        <v>45981.708333333336</v>
      </c>
      <c r="H145" s="29">
        <v>1</v>
      </c>
      <c r="I145" s="30">
        <f t="shared" si="123"/>
        <v>8</v>
      </c>
      <c r="J145" s="31">
        <v>8</v>
      </c>
      <c r="K145" s="32">
        <f t="shared" ref="K145:K148" si="140">I145-J145</f>
        <v>0</v>
      </c>
      <c r="L145" s="33">
        <v>0</v>
      </c>
      <c r="M145" s="34">
        <f>$O125</f>
        <v>21750</v>
      </c>
      <c r="N145" s="35">
        <f t="shared" ref="N145:N148" si="141">J145*M145</f>
        <v>174000</v>
      </c>
      <c r="O145" s="35">
        <f t="shared" ref="O145:O148" si="142">L145*M145</f>
        <v>0</v>
      </c>
      <c r="P145" s="35">
        <f>O126</f>
        <v>38000</v>
      </c>
      <c r="Q145" s="35">
        <f t="shared" ref="Q145:Q148" si="143">N145+O145+P145</f>
        <v>212000</v>
      </c>
    </row>
    <row r="146" spans="1:20" ht="15" customHeight="1" x14ac:dyDescent="0.25">
      <c r="A146" s="26">
        <v>18</v>
      </c>
      <c r="B146" s="14">
        <v>45982</v>
      </c>
      <c r="C146" s="14" t="s">
        <v>26</v>
      </c>
      <c r="D146" s="15" t="s">
        <v>18</v>
      </c>
      <c r="E146" s="22">
        <v>0.32569444444444445</v>
      </c>
      <c r="F146" s="120">
        <v>45982.333333333336</v>
      </c>
      <c r="G146" s="120">
        <v>45982.708333333336</v>
      </c>
      <c r="H146" s="29">
        <v>1</v>
      </c>
      <c r="I146" s="30">
        <f t="shared" si="123"/>
        <v>8</v>
      </c>
      <c r="J146" s="31">
        <v>8</v>
      </c>
      <c r="K146" s="32">
        <f t="shared" si="140"/>
        <v>0</v>
      </c>
      <c r="L146" s="33">
        <v>0</v>
      </c>
      <c r="M146" s="34">
        <f>$O125</f>
        <v>21750</v>
      </c>
      <c r="N146" s="35">
        <f t="shared" si="141"/>
        <v>174000</v>
      </c>
      <c r="O146" s="35">
        <f t="shared" si="142"/>
        <v>0</v>
      </c>
      <c r="P146" s="35">
        <f>O126</f>
        <v>38000</v>
      </c>
      <c r="Q146" s="35">
        <f t="shared" si="143"/>
        <v>212000</v>
      </c>
    </row>
    <row r="147" spans="1:20" ht="15" customHeight="1" x14ac:dyDescent="0.25">
      <c r="A147" s="26">
        <v>19</v>
      </c>
      <c r="B147" s="14">
        <v>45985</v>
      </c>
      <c r="C147" s="14" t="s">
        <v>27</v>
      </c>
      <c r="D147" s="15" t="s">
        <v>18</v>
      </c>
      <c r="E147" s="22">
        <v>0.32847222222222222</v>
      </c>
      <c r="F147" s="120">
        <v>45985.333333333336</v>
      </c>
      <c r="G147" s="120">
        <v>45985.708333333336</v>
      </c>
      <c r="H147" s="29">
        <v>1</v>
      </c>
      <c r="I147" s="30">
        <f t="shared" si="123"/>
        <v>8</v>
      </c>
      <c r="J147" s="31">
        <v>8</v>
      </c>
      <c r="K147" s="32">
        <f t="shared" si="140"/>
        <v>0</v>
      </c>
      <c r="L147" s="33">
        <v>0</v>
      </c>
      <c r="M147" s="34">
        <f>$O125</f>
        <v>21750</v>
      </c>
      <c r="N147" s="35">
        <f t="shared" si="141"/>
        <v>174000</v>
      </c>
      <c r="O147" s="35">
        <f t="shared" si="142"/>
        <v>0</v>
      </c>
      <c r="P147" s="35">
        <f>O126</f>
        <v>38000</v>
      </c>
      <c r="Q147" s="35">
        <f t="shared" si="143"/>
        <v>212000</v>
      </c>
    </row>
    <row r="148" spans="1:20" ht="15" customHeight="1" x14ac:dyDescent="0.25">
      <c r="A148" s="26">
        <v>20</v>
      </c>
      <c r="B148" s="14">
        <v>45986</v>
      </c>
      <c r="C148" s="14" t="s">
        <v>22</v>
      </c>
      <c r="D148" s="15" t="s">
        <v>18</v>
      </c>
      <c r="E148" s="22">
        <v>0.32500000000000001</v>
      </c>
      <c r="F148" s="120">
        <v>45986.333333333336</v>
      </c>
      <c r="G148" s="120">
        <v>45986.875</v>
      </c>
      <c r="H148" s="29">
        <v>2</v>
      </c>
      <c r="I148" s="30">
        <f t="shared" si="123"/>
        <v>10.999999999941792</v>
      </c>
      <c r="J148" s="31">
        <v>8</v>
      </c>
      <c r="K148" s="32">
        <f t="shared" si="140"/>
        <v>2.9999999999417923</v>
      </c>
      <c r="L148" s="33">
        <f>K148*2-0.5</f>
        <v>5.4999999998835847</v>
      </c>
      <c r="M148" s="34">
        <f>$O125</f>
        <v>21750</v>
      </c>
      <c r="N148" s="35">
        <f t="shared" si="141"/>
        <v>174000</v>
      </c>
      <c r="O148" s="35">
        <f t="shared" si="142"/>
        <v>119624.99999746797</v>
      </c>
      <c r="P148" s="35">
        <f>O126</f>
        <v>38000</v>
      </c>
      <c r="Q148" s="35">
        <f t="shared" si="143"/>
        <v>331624.99999746797</v>
      </c>
    </row>
    <row r="149" spans="1:20" ht="15" customHeight="1" x14ac:dyDescent="0.25">
      <c r="A149" s="222" t="s">
        <v>19</v>
      </c>
      <c r="B149" s="186"/>
      <c r="C149" s="187"/>
      <c r="D149" s="43"/>
      <c r="E149" s="91"/>
      <c r="F149" s="92"/>
      <c r="G149" s="53"/>
      <c r="H149" s="44"/>
      <c r="I149" s="45"/>
      <c r="J149" s="46"/>
      <c r="K149" s="47"/>
      <c r="L149" s="48"/>
      <c r="M149" s="49"/>
      <c r="N149" s="50">
        <f>SUM(N129:N148)</f>
        <v>3240750</v>
      </c>
      <c r="O149" s="50">
        <f>SUM(O129:O148)</f>
        <v>1468124.9999670836</v>
      </c>
      <c r="P149" s="50">
        <f>SUM(P129:P148)</f>
        <v>760000</v>
      </c>
      <c r="Q149" s="50">
        <f>SUM(Q129:Q148)</f>
        <v>5468874.9999670833</v>
      </c>
      <c r="T149" s="116"/>
    </row>
    <row r="150" spans="1:20" ht="15" customHeight="1" x14ac:dyDescent="0.25">
      <c r="A150" s="79"/>
      <c r="B150" s="79"/>
      <c r="C150" s="79"/>
      <c r="D150" s="64"/>
      <c r="E150" s="64"/>
      <c r="F150" s="80"/>
      <c r="G150" s="81"/>
      <c r="H150" s="82"/>
      <c r="I150" s="115"/>
      <c r="J150" s="83"/>
      <c r="K150" s="84"/>
      <c r="L150" s="85"/>
      <c r="M150" s="86"/>
      <c r="N150" s="197"/>
      <c r="O150" s="198"/>
      <c r="P150" s="199"/>
      <c r="Q150" s="50"/>
      <c r="T150" s="116"/>
    </row>
    <row r="151" spans="1:20" ht="15" customHeight="1" x14ac:dyDescent="0.25">
      <c r="A151" s="79"/>
      <c r="B151" s="79"/>
      <c r="C151" s="79"/>
      <c r="D151" s="64"/>
      <c r="E151" s="64"/>
      <c r="F151" s="80"/>
      <c r="G151" s="81"/>
      <c r="H151" s="82"/>
      <c r="I151" s="223" t="s">
        <v>52</v>
      </c>
      <c r="J151" s="223"/>
      <c r="K151" s="223"/>
      <c r="L151" s="224">
        <v>10000000</v>
      </c>
      <c r="M151" s="224"/>
      <c r="N151" s="225" t="s">
        <v>41</v>
      </c>
      <c r="O151" s="184"/>
      <c r="P151" s="185"/>
      <c r="Q151" s="69">
        <f>SUM(Q149:Q150)</f>
        <v>5468874.9999670833</v>
      </c>
      <c r="T151" s="116"/>
    </row>
    <row r="152" spans="1:20" ht="15" customHeight="1" x14ac:dyDescent="0.25">
      <c r="A152" s="54"/>
      <c r="B152" s="55"/>
      <c r="C152" s="55"/>
      <c r="D152" s="56"/>
      <c r="E152" s="56"/>
      <c r="F152" s="57"/>
      <c r="G152" s="58"/>
      <c r="H152" s="59"/>
      <c r="I152" s="226" t="s">
        <v>60</v>
      </c>
      <c r="J152" s="226"/>
      <c r="K152" s="226"/>
      <c r="L152" s="227">
        <f>L151*0.025</f>
        <v>250000</v>
      </c>
      <c r="M152" s="227"/>
      <c r="N152" s="222" t="s">
        <v>65</v>
      </c>
      <c r="O152" s="186"/>
      <c r="P152" s="187"/>
      <c r="Q152" s="60">
        <v>1000000</v>
      </c>
      <c r="T152" s="117"/>
    </row>
    <row r="153" spans="1:20" ht="15" customHeight="1" x14ac:dyDescent="0.25">
      <c r="A153" s="54"/>
      <c r="B153" s="55"/>
      <c r="C153" s="55"/>
      <c r="D153" s="56"/>
      <c r="E153" s="56"/>
      <c r="F153" s="57"/>
      <c r="G153" s="58"/>
      <c r="H153" s="59"/>
      <c r="I153" s="236" t="s">
        <v>50</v>
      </c>
      <c r="J153" s="236"/>
      <c r="K153" s="236"/>
      <c r="L153" s="237">
        <f>SUM(L151:L152)</f>
        <v>10250000</v>
      </c>
      <c r="M153" s="237"/>
      <c r="N153" s="197" t="s">
        <v>37</v>
      </c>
      <c r="O153" s="198"/>
      <c r="P153" s="199"/>
      <c r="Q153" s="61">
        <f>(5219263*0.01)</f>
        <v>52192.630000000005</v>
      </c>
    </row>
    <row r="154" spans="1:20" ht="15" customHeight="1" x14ac:dyDescent="0.25">
      <c r="A154" s="54"/>
      <c r="B154" s="55"/>
      <c r="C154" s="55"/>
      <c r="D154" s="56"/>
      <c r="E154" s="56"/>
      <c r="F154" s="57"/>
      <c r="G154" s="58"/>
      <c r="H154" s="59"/>
      <c r="I154" s="228" t="s">
        <v>64</v>
      </c>
      <c r="J154" s="229"/>
      <c r="K154" s="230"/>
      <c r="L154" s="231">
        <f>1000000*3</f>
        <v>3000000</v>
      </c>
      <c r="M154" s="232"/>
      <c r="N154" s="216" t="s">
        <v>38</v>
      </c>
      <c r="O154" s="217"/>
      <c r="P154" s="217"/>
      <c r="Q154" s="60">
        <v>60000</v>
      </c>
    </row>
    <row r="155" spans="1:20" ht="15" customHeight="1" x14ac:dyDescent="0.25">
      <c r="A155" s="54"/>
      <c r="B155" s="55"/>
      <c r="C155" s="55"/>
      <c r="D155" s="56"/>
      <c r="E155" s="56"/>
      <c r="F155" s="57"/>
      <c r="G155" s="58"/>
      <c r="H155" s="59"/>
      <c r="I155" s="171" t="s">
        <v>48</v>
      </c>
      <c r="J155" s="172"/>
      <c r="K155" s="173"/>
      <c r="L155" s="233">
        <f>L153-L154</f>
        <v>7250000</v>
      </c>
      <c r="M155" s="202"/>
      <c r="N155" s="218" t="s">
        <v>35</v>
      </c>
      <c r="O155" s="219"/>
      <c r="P155" s="220"/>
      <c r="Q155" s="69">
        <f>Q151-Q152-Q153-Q154</f>
        <v>4356682.3699670834</v>
      </c>
    </row>
    <row r="156" spans="1:20" ht="15" customHeight="1" x14ac:dyDescent="0.25">
      <c r="A156" s="54"/>
      <c r="B156" s="55"/>
      <c r="C156" s="55"/>
      <c r="D156" s="56"/>
      <c r="E156" s="56"/>
      <c r="F156" s="57"/>
      <c r="G156" s="58"/>
      <c r="H156" s="59"/>
      <c r="I156" s="59"/>
      <c r="J156" s="54"/>
      <c r="K156" s="54"/>
      <c r="L156" s="54" t="s">
        <v>53</v>
      </c>
      <c r="M156" s="54"/>
      <c r="N156" s="221"/>
      <c r="O156" s="221"/>
      <c r="P156" s="221"/>
      <c r="Q156" s="72"/>
    </row>
    <row r="157" spans="1:20" ht="15" customHeight="1" x14ac:dyDescent="0.25">
      <c r="A157" s="54"/>
      <c r="B157" s="55"/>
      <c r="C157" s="55"/>
      <c r="D157" s="56"/>
      <c r="E157" s="56"/>
      <c r="F157" s="57"/>
      <c r="G157" s="58"/>
      <c r="H157" s="59"/>
      <c r="I157" s="59"/>
      <c r="J157" s="54"/>
      <c r="K157" s="54"/>
      <c r="L157" s="54"/>
      <c r="M157" s="54"/>
      <c r="N157" s="215"/>
      <c r="O157" s="215"/>
      <c r="P157" s="215"/>
      <c r="Q157" s="72"/>
    </row>
    <row r="158" spans="1:20" ht="15" customHeight="1" x14ac:dyDescent="0.25">
      <c r="Q158" s="73"/>
    </row>
    <row r="159" spans="1:20" ht="15" customHeight="1" x14ac:dyDescent="0.25">
      <c r="Q159" s="73"/>
    </row>
    <row r="160" spans="1:20" ht="15" customHeight="1" x14ac:dyDescent="0.25">
      <c r="Q160" s="73"/>
    </row>
    <row r="161" spans="1:17" ht="15" customHeight="1" x14ac:dyDescent="0.25">
      <c r="Q161" s="73"/>
    </row>
    <row r="162" spans="1:17" ht="15" customHeight="1" x14ac:dyDescent="0.25">
      <c r="Q162" s="73"/>
    </row>
    <row r="163" spans="1:17" ht="15" customHeight="1" x14ac:dyDescent="0.25">
      <c r="Q163" s="73"/>
    </row>
    <row r="164" spans="1:17" ht="15" customHeight="1" x14ac:dyDescent="0.25">
      <c r="Q164" s="73"/>
    </row>
    <row r="165" spans="1:17" ht="15" customHeight="1" x14ac:dyDescent="0.25">
      <c r="Q165" s="73"/>
    </row>
    <row r="166" spans="1:17" ht="15" customHeight="1" x14ac:dyDescent="0.25">
      <c r="Q166" s="73"/>
    </row>
    <row r="167" spans="1:17" ht="15" customHeight="1" x14ac:dyDescent="0.25">
      <c r="Q167" s="73"/>
    </row>
    <row r="168" spans="1:17" ht="15" customHeight="1" x14ac:dyDescent="0.25">
      <c r="A168" s="54"/>
      <c r="B168" s="64" t="s">
        <v>0</v>
      </c>
      <c r="C168" s="65"/>
      <c r="D168" s="66" t="s">
        <v>42</v>
      </c>
      <c r="E168" s="66"/>
      <c r="F168" s="65"/>
      <c r="G168" s="66"/>
      <c r="H168" s="66"/>
      <c r="I168" s="66"/>
      <c r="J168" s="66"/>
      <c r="K168" s="66"/>
      <c r="L168" s="66"/>
      <c r="M168" s="66" t="s">
        <v>21</v>
      </c>
      <c r="N168" s="65" t="s">
        <v>20</v>
      </c>
      <c r="O168" s="67">
        <v>21300</v>
      </c>
      <c r="P168" s="68" t="s">
        <v>23</v>
      </c>
      <c r="Q168" s="66"/>
    </row>
    <row r="169" spans="1:17" ht="15" customHeight="1" x14ac:dyDescent="0.25">
      <c r="A169" s="54"/>
      <c r="B169" s="64" t="s">
        <v>1</v>
      </c>
      <c r="C169" s="65"/>
      <c r="D169" s="66" t="s">
        <v>43</v>
      </c>
      <c r="E169" s="66"/>
      <c r="F169" s="65"/>
      <c r="G169" s="66"/>
      <c r="H169" s="66"/>
      <c r="I169" s="66"/>
      <c r="J169" s="66"/>
      <c r="K169" s="66"/>
      <c r="L169" s="66"/>
      <c r="M169" s="66" t="s">
        <v>2</v>
      </c>
      <c r="N169" s="65" t="s">
        <v>20</v>
      </c>
      <c r="O169" s="67">
        <f>37000+1000</f>
        <v>38000</v>
      </c>
      <c r="P169" s="68" t="s">
        <v>24</v>
      </c>
      <c r="Q169" s="66"/>
    </row>
    <row r="170" spans="1:17" ht="15" customHeight="1" x14ac:dyDescent="0.25">
      <c r="A170" s="203" t="s">
        <v>36</v>
      </c>
      <c r="B170" s="205" t="s">
        <v>3</v>
      </c>
      <c r="C170" s="205" t="s">
        <v>4</v>
      </c>
      <c r="D170" s="206" t="s">
        <v>5</v>
      </c>
      <c r="E170" s="206" t="s">
        <v>34</v>
      </c>
      <c r="F170" s="203" t="s">
        <v>6</v>
      </c>
      <c r="G170" s="208" t="s">
        <v>7</v>
      </c>
      <c r="H170" s="206" t="s">
        <v>8</v>
      </c>
      <c r="I170" s="210" t="s">
        <v>9</v>
      </c>
      <c r="J170" s="188" t="s">
        <v>10</v>
      </c>
      <c r="K170" s="188" t="s">
        <v>11</v>
      </c>
      <c r="L170" s="188" t="s">
        <v>12</v>
      </c>
      <c r="M170" s="188" t="s">
        <v>13</v>
      </c>
      <c r="N170" s="188" t="s">
        <v>14</v>
      </c>
      <c r="O170" s="188" t="s">
        <v>15</v>
      </c>
      <c r="P170" s="188" t="s">
        <v>16</v>
      </c>
      <c r="Q170" s="188" t="s">
        <v>17</v>
      </c>
    </row>
    <row r="171" spans="1:17" ht="15" customHeight="1" x14ac:dyDescent="0.25">
      <c r="A171" s="204"/>
      <c r="B171" s="205"/>
      <c r="C171" s="205"/>
      <c r="D171" s="207"/>
      <c r="E171" s="207"/>
      <c r="F171" s="204"/>
      <c r="G171" s="209"/>
      <c r="H171" s="207"/>
      <c r="I171" s="210"/>
      <c r="J171" s="188"/>
      <c r="K171" s="188"/>
      <c r="L171" s="188"/>
      <c r="M171" s="188"/>
      <c r="N171" s="188"/>
      <c r="O171" s="188"/>
      <c r="P171" s="188"/>
      <c r="Q171" s="188"/>
    </row>
    <row r="172" spans="1:17" ht="15" customHeight="1" x14ac:dyDescent="0.25">
      <c r="A172" s="27">
        <v>1</v>
      </c>
      <c r="B172" s="14">
        <v>45960</v>
      </c>
      <c r="C172" s="14" t="s">
        <v>25</v>
      </c>
      <c r="D172" s="15" t="s">
        <v>18</v>
      </c>
      <c r="E172" s="22">
        <v>0.33611111111111114</v>
      </c>
      <c r="F172" s="120">
        <v>45960.336111111108</v>
      </c>
      <c r="G172" s="120">
        <v>45960.708333333336</v>
      </c>
      <c r="H172" s="16">
        <v>1</v>
      </c>
      <c r="I172" s="17">
        <f t="shared" ref="I172:I194" si="144">((G172-F172)*24)-H172</f>
        <v>7.9333333334652707</v>
      </c>
      <c r="J172" s="18">
        <v>8</v>
      </c>
      <c r="K172" s="19">
        <f t="shared" ref="K172:K194" si="145">I172-J172</f>
        <v>-6.6666666534729302E-2</v>
      </c>
      <c r="L172" s="21">
        <v>0</v>
      </c>
      <c r="M172" s="10">
        <f>O168</f>
        <v>21300</v>
      </c>
      <c r="N172" s="20">
        <f t="shared" ref="N172" si="146">J172*M172</f>
        <v>170400</v>
      </c>
      <c r="O172" s="20">
        <f t="shared" ref="O172:O194" si="147">L172*M172</f>
        <v>0</v>
      </c>
      <c r="P172" s="20">
        <f>O169</f>
        <v>38000</v>
      </c>
      <c r="Q172" s="20">
        <f t="shared" ref="Q172:Q194" si="148">N172+O172+P172</f>
        <v>208400</v>
      </c>
    </row>
    <row r="173" spans="1:17" ht="15" customHeight="1" x14ac:dyDescent="0.25">
      <c r="A173" s="27">
        <v>2</v>
      </c>
      <c r="B173" s="14">
        <v>45961</v>
      </c>
      <c r="C173" s="14" t="s">
        <v>26</v>
      </c>
      <c r="D173" s="15" t="s">
        <v>18</v>
      </c>
      <c r="E173" s="22">
        <v>0.33541666666666664</v>
      </c>
      <c r="F173" s="120">
        <v>45961.335416666669</v>
      </c>
      <c r="G173" s="120">
        <v>45961.708333333336</v>
      </c>
      <c r="H173" s="16">
        <v>1</v>
      </c>
      <c r="I173" s="17">
        <f t="shared" si="144"/>
        <v>7.9500000000116415</v>
      </c>
      <c r="J173" s="18">
        <v>8</v>
      </c>
      <c r="K173" s="19">
        <f t="shared" si="145"/>
        <v>-4.9999999988358468E-2</v>
      </c>
      <c r="L173" s="21">
        <v>0</v>
      </c>
      <c r="M173" s="10">
        <f>O168</f>
        <v>21300</v>
      </c>
      <c r="N173" s="20">
        <f>J173*M173</f>
        <v>170400</v>
      </c>
      <c r="O173" s="20">
        <f t="shared" si="147"/>
        <v>0</v>
      </c>
      <c r="P173" s="20">
        <f>O169</f>
        <v>38000</v>
      </c>
      <c r="Q173" s="20">
        <f t="shared" si="148"/>
        <v>208400</v>
      </c>
    </row>
    <row r="174" spans="1:17" ht="15" customHeight="1" x14ac:dyDescent="0.25">
      <c r="A174" s="27">
        <v>3</v>
      </c>
      <c r="B174" s="14">
        <v>45964</v>
      </c>
      <c r="C174" s="14" t="s">
        <v>27</v>
      </c>
      <c r="D174" s="15" t="s">
        <v>18</v>
      </c>
      <c r="E174" s="22">
        <v>0.33680555555555558</v>
      </c>
      <c r="F174" s="120">
        <v>45964.338888888888</v>
      </c>
      <c r="G174" s="120">
        <v>45964.708333333336</v>
      </c>
      <c r="H174" s="16">
        <v>1</v>
      </c>
      <c r="I174" s="17">
        <f t="shared" si="144"/>
        <v>7.8666666667559184</v>
      </c>
      <c r="J174" s="18">
        <v>8</v>
      </c>
      <c r="K174" s="19">
        <f t="shared" si="145"/>
        <v>-0.13333333324408159</v>
      </c>
      <c r="L174" s="21">
        <v>0</v>
      </c>
      <c r="M174" s="10">
        <f t="shared" ref="M174:M194" si="149">$O$168</f>
        <v>21300</v>
      </c>
      <c r="N174" s="20">
        <f t="shared" ref="N174:N194" si="150">J174*M174</f>
        <v>170400</v>
      </c>
      <c r="O174" s="20">
        <f t="shared" si="147"/>
        <v>0</v>
      </c>
      <c r="P174" s="20">
        <f>O169</f>
        <v>38000</v>
      </c>
      <c r="Q174" s="20">
        <f t="shared" si="148"/>
        <v>208400</v>
      </c>
    </row>
    <row r="175" spans="1:17" ht="15" customHeight="1" x14ac:dyDescent="0.25">
      <c r="A175" s="27">
        <v>4</v>
      </c>
      <c r="B175" s="14">
        <v>45965</v>
      </c>
      <c r="C175" s="14" t="s">
        <v>22</v>
      </c>
      <c r="D175" s="15" t="s">
        <v>18</v>
      </c>
      <c r="E175" s="22">
        <v>0.33819444444444446</v>
      </c>
      <c r="F175" s="120">
        <v>45965.338194444441</v>
      </c>
      <c r="G175" s="120">
        <v>45965.708333333336</v>
      </c>
      <c r="H175" s="16">
        <v>1</v>
      </c>
      <c r="I175" s="17">
        <f t="shared" si="144"/>
        <v>7.8833333334769122</v>
      </c>
      <c r="J175" s="18">
        <v>8</v>
      </c>
      <c r="K175" s="19">
        <f t="shared" si="145"/>
        <v>-0.11666666652308777</v>
      </c>
      <c r="L175" s="21">
        <v>0</v>
      </c>
      <c r="M175" s="10">
        <f t="shared" si="149"/>
        <v>21300</v>
      </c>
      <c r="N175" s="20">
        <f t="shared" si="150"/>
        <v>170400</v>
      </c>
      <c r="O175" s="20">
        <f t="shared" si="147"/>
        <v>0</v>
      </c>
      <c r="P175" s="20">
        <f>O169</f>
        <v>38000</v>
      </c>
      <c r="Q175" s="20">
        <f t="shared" si="148"/>
        <v>208400</v>
      </c>
    </row>
    <row r="176" spans="1:17" ht="15" customHeight="1" x14ac:dyDescent="0.25">
      <c r="A176" s="27">
        <v>5</v>
      </c>
      <c r="B176" s="14">
        <v>45966</v>
      </c>
      <c r="C176" s="14" t="s">
        <v>28</v>
      </c>
      <c r="D176" s="15" t="s">
        <v>18</v>
      </c>
      <c r="E176" s="22">
        <v>0.33680555555555558</v>
      </c>
      <c r="F176" s="120">
        <v>45966.336805555555</v>
      </c>
      <c r="G176" s="120">
        <v>45966.708333333336</v>
      </c>
      <c r="H176" s="16">
        <v>1</v>
      </c>
      <c r="I176" s="17">
        <f t="shared" si="144"/>
        <v>7.9166666667442769</v>
      </c>
      <c r="J176" s="18">
        <v>8</v>
      </c>
      <c r="K176" s="19">
        <f t="shared" si="145"/>
        <v>-8.3333333255723119E-2</v>
      </c>
      <c r="L176" s="33">
        <v>0</v>
      </c>
      <c r="M176" s="10">
        <f t="shared" si="149"/>
        <v>21300</v>
      </c>
      <c r="N176" s="20">
        <f t="shared" si="150"/>
        <v>170400</v>
      </c>
      <c r="O176" s="20">
        <f t="shared" si="147"/>
        <v>0</v>
      </c>
      <c r="P176" s="20">
        <f>O169</f>
        <v>38000</v>
      </c>
      <c r="Q176" s="20">
        <f t="shared" si="148"/>
        <v>208400</v>
      </c>
    </row>
    <row r="177" spans="1:17" ht="15" customHeight="1" x14ac:dyDescent="0.25">
      <c r="A177" s="27">
        <v>6</v>
      </c>
      <c r="B177" s="14">
        <v>45967</v>
      </c>
      <c r="C177" s="14" t="s">
        <v>25</v>
      </c>
      <c r="D177" s="15" t="s">
        <v>18</v>
      </c>
      <c r="E177" s="22">
        <v>0.33750000000000002</v>
      </c>
      <c r="F177" s="120">
        <v>45967.337500000001</v>
      </c>
      <c r="G177" s="120">
        <v>45967.708333333336</v>
      </c>
      <c r="H177" s="16">
        <v>1</v>
      </c>
      <c r="I177" s="17">
        <f t="shared" si="144"/>
        <v>7.9000000000232831</v>
      </c>
      <c r="J177" s="18">
        <v>8</v>
      </c>
      <c r="K177" s="19">
        <f t="shared" si="145"/>
        <v>-9.9999999976716936E-2</v>
      </c>
      <c r="L177" s="33">
        <v>0</v>
      </c>
      <c r="M177" s="10">
        <f t="shared" si="149"/>
        <v>21300</v>
      </c>
      <c r="N177" s="20">
        <f t="shared" si="150"/>
        <v>170400</v>
      </c>
      <c r="O177" s="20">
        <f t="shared" si="147"/>
        <v>0</v>
      </c>
      <c r="P177" s="20">
        <f>O169</f>
        <v>38000</v>
      </c>
      <c r="Q177" s="20">
        <f t="shared" si="148"/>
        <v>208400</v>
      </c>
    </row>
    <row r="178" spans="1:17" ht="15" customHeight="1" x14ac:dyDescent="0.25">
      <c r="A178" s="27">
        <v>7</v>
      </c>
      <c r="B178" s="14">
        <v>45968</v>
      </c>
      <c r="C178" s="14" t="s">
        <v>26</v>
      </c>
      <c r="D178" s="15" t="s">
        <v>18</v>
      </c>
      <c r="E178" s="22">
        <v>0.33819444444444446</v>
      </c>
      <c r="F178" s="120">
        <v>45968.338194444441</v>
      </c>
      <c r="G178" s="120">
        <v>45968.916666666664</v>
      </c>
      <c r="H178" s="16">
        <v>2</v>
      </c>
      <c r="I178" s="17">
        <f t="shared" si="144"/>
        <v>11.883333333360497</v>
      </c>
      <c r="J178" s="18">
        <v>8</v>
      </c>
      <c r="K178" s="19">
        <f t="shared" si="145"/>
        <v>3.8833333333604969</v>
      </c>
      <c r="L178" s="21">
        <f>K178*2-0.5</f>
        <v>7.2666666667209938</v>
      </c>
      <c r="M178" s="10">
        <f t="shared" si="149"/>
        <v>21300</v>
      </c>
      <c r="N178" s="20">
        <f t="shared" si="150"/>
        <v>170400</v>
      </c>
      <c r="O178" s="20">
        <f t="shared" si="147"/>
        <v>154780.00000115717</v>
      </c>
      <c r="P178" s="20">
        <f>O169</f>
        <v>38000</v>
      </c>
      <c r="Q178" s="20">
        <f t="shared" si="148"/>
        <v>363180.00000115717</v>
      </c>
    </row>
    <row r="179" spans="1:17" ht="15" customHeight="1" x14ac:dyDescent="0.25">
      <c r="A179" s="27">
        <v>8</v>
      </c>
      <c r="B179" s="14">
        <v>45969</v>
      </c>
      <c r="C179" s="14" t="s">
        <v>57</v>
      </c>
      <c r="D179" s="15" t="s">
        <v>18</v>
      </c>
      <c r="E179" s="22">
        <v>0.33958333333333335</v>
      </c>
      <c r="F179" s="120">
        <v>45969.339583333334</v>
      </c>
      <c r="G179" s="120">
        <v>45969.916666666664</v>
      </c>
      <c r="H179" s="16">
        <v>2</v>
      </c>
      <c r="I179" s="17">
        <f t="shared" si="144"/>
        <v>11.849999999918509</v>
      </c>
      <c r="J179" s="18">
        <v>5</v>
      </c>
      <c r="K179" s="19">
        <f t="shared" si="145"/>
        <v>6.8499999999185093</v>
      </c>
      <c r="L179" s="21">
        <f>K179*2-0.5</f>
        <v>13.199999999837019</v>
      </c>
      <c r="M179" s="10">
        <f t="shared" si="149"/>
        <v>21300</v>
      </c>
      <c r="N179" s="20">
        <f t="shared" si="150"/>
        <v>106500</v>
      </c>
      <c r="O179" s="20">
        <f t="shared" si="147"/>
        <v>281159.9999965285</v>
      </c>
      <c r="P179" s="20">
        <f>O169</f>
        <v>38000</v>
      </c>
      <c r="Q179" s="20">
        <f t="shared" si="148"/>
        <v>425659.9999965285</v>
      </c>
    </row>
    <row r="180" spans="1:17" ht="15" customHeight="1" x14ac:dyDescent="0.25">
      <c r="A180" s="139">
        <v>9</v>
      </c>
      <c r="B180" s="140">
        <v>45970</v>
      </c>
      <c r="C180" s="140" t="s">
        <v>54</v>
      </c>
      <c r="D180" s="141" t="s">
        <v>18</v>
      </c>
      <c r="E180" s="142">
        <v>0.33750000000000002</v>
      </c>
      <c r="F180" s="143">
        <v>45970.337500000001</v>
      </c>
      <c r="G180" s="143">
        <v>45970.916666666664</v>
      </c>
      <c r="H180" s="144">
        <v>2</v>
      </c>
      <c r="I180" s="145">
        <f t="shared" si="144"/>
        <v>11.899999999906868</v>
      </c>
      <c r="J180" s="146">
        <v>0</v>
      </c>
      <c r="K180" s="147">
        <f t="shared" si="145"/>
        <v>11.899999999906868</v>
      </c>
      <c r="L180" s="148">
        <f>K180*2</f>
        <v>23.799999999813735</v>
      </c>
      <c r="M180" s="149">
        <f t="shared" si="149"/>
        <v>21300</v>
      </c>
      <c r="N180" s="150">
        <f t="shared" si="150"/>
        <v>0</v>
      </c>
      <c r="O180" s="150">
        <f t="shared" si="147"/>
        <v>506939.99999603257</v>
      </c>
      <c r="P180" s="150">
        <f>O169</f>
        <v>38000</v>
      </c>
      <c r="Q180" s="150">
        <f t="shared" si="148"/>
        <v>544939.99999603257</v>
      </c>
    </row>
    <row r="181" spans="1:17" ht="15" customHeight="1" x14ac:dyDescent="0.25">
      <c r="A181" s="27">
        <v>10</v>
      </c>
      <c r="B181" s="14">
        <v>45971</v>
      </c>
      <c r="C181" s="14" t="s">
        <v>27</v>
      </c>
      <c r="D181" s="15" t="s">
        <v>18</v>
      </c>
      <c r="E181" s="22">
        <v>0.33750000000000002</v>
      </c>
      <c r="F181" s="120">
        <v>45971.337500000001</v>
      </c>
      <c r="G181" s="120">
        <v>45971.916666666664</v>
      </c>
      <c r="H181" s="16">
        <v>2</v>
      </c>
      <c r="I181" s="17">
        <f t="shared" si="144"/>
        <v>11.899999999906868</v>
      </c>
      <c r="J181" s="18">
        <v>8</v>
      </c>
      <c r="K181" s="19">
        <f t="shared" si="145"/>
        <v>3.8999999999068677</v>
      </c>
      <c r="L181" s="21">
        <f>K181*2-0.5</f>
        <v>7.2999999998137355</v>
      </c>
      <c r="M181" s="10">
        <f t="shared" si="149"/>
        <v>21300</v>
      </c>
      <c r="N181" s="20">
        <f t="shared" si="150"/>
        <v>170400</v>
      </c>
      <c r="O181" s="20">
        <f t="shared" si="147"/>
        <v>155489.99999603257</v>
      </c>
      <c r="P181" s="20">
        <f>O169</f>
        <v>38000</v>
      </c>
      <c r="Q181" s="20">
        <f t="shared" si="148"/>
        <v>363889.99999603257</v>
      </c>
    </row>
    <row r="182" spans="1:17" ht="15" customHeight="1" x14ac:dyDescent="0.25">
      <c r="A182" s="27">
        <v>11</v>
      </c>
      <c r="B182" s="14">
        <v>45972</v>
      </c>
      <c r="C182" s="14" t="s">
        <v>22</v>
      </c>
      <c r="D182" s="15" t="s">
        <v>18</v>
      </c>
      <c r="E182" s="22">
        <v>0.34027777777777779</v>
      </c>
      <c r="F182" s="120">
        <v>45972.340277777781</v>
      </c>
      <c r="G182" s="120">
        <v>45972.916666666664</v>
      </c>
      <c r="H182" s="16">
        <v>2</v>
      </c>
      <c r="I182" s="17">
        <f t="shared" si="144"/>
        <v>11.833333333197515</v>
      </c>
      <c r="J182" s="18">
        <v>8</v>
      </c>
      <c r="K182" s="19">
        <f t="shared" si="145"/>
        <v>3.8333333331975155</v>
      </c>
      <c r="L182" s="21">
        <f>K182*2-0.5</f>
        <v>7.1666666663950309</v>
      </c>
      <c r="M182" s="10">
        <f t="shared" si="149"/>
        <v>21300</v>
      </c>
      <c r="N182" s="20">
        <f t="shared" si="150"/>
        <v>170400</v>
      </c>
      <c r="O182" s="20">
        <f t="shared" si="147"/>
        <v>152649.99999421416</v>
      </c>
      <c r="P182" s="20">
        <f>O169</f>
        <v>38000</v>
      </c>
      <c r="Q182" s="20">
        <f t="shared" si="148"/>
        <v>361049.99999421416</v>
      </c>
    </row>
    <row r="183" spans="1:17" ht="15" customHeight="1" x14ac:dyDescent="0.25">
      <c r="A183" s="27">
        <v>12</v>
      </c>
      <c r="B183" s="14">
        <v>45973</v>
      </c>
      <c r="C183" s="14" t="s">
        <v>28</v>
      </c>
      <c r="D183" s="15" t="s">
        <v>18</v>
      </c>
      <c r="E183" s="22">
        <v>0.33611111111111114</v>
      </c>
      <c r="F183" s="120">
        <v>45973.336111111108</v>
      </c>
      <c r="G183" s="120">
        <v>45973.708333333336</v>
      </c>
      <c r="H183" s="16">
        <v>1</v>
      </c>
      <c r="I183" s="17">
        <f t="shared" si="144"/>
        <v>7.9333333334652707</v>
      </c>
      <c r="J183" s="18">
        <v>8</v>
      </c>
      <c r="K183" s="19">
        <f t="shared" si="145"/>
        <v>-6.6666666534729302E-2</v>
      </c>
      <c r="L183" s="21">
        <v>0</v>
      </c>
      <c r="M183" s="10">
        <f t="shared" si="149"/>
        <v>21300</v>
      </c>
      <c r="N183" s="20">
        <f t="shared" si="150"/>
        <v>170400</v>
      </c>
      <c r="O183" s="20">
        <f t="shared" si="147"/>
        <v>0</v>
      </c>
      <c r="P183" s="20">
        <f>O169</f>
        <v>38000</v>
      </c>
      <c r="Q183" s="20">
        <f t="shared" si="148"/>
        <v>208400</v>
      </c>
    </row>
    <row r="184" spans="1:17" ht="15" customHeight="1" x14ac:dyDescent="0.25">
      <c r="A184" s="27">
        <v>13</v>
      </c>
      <c r="B184" s="14">
        <v>45974</v>
      </c>
      <c r="C184" s="14" t="s">
        <v>25</v>
      </c>
      <c r="D184" s="15" t="s">
        <v>18</v>
      </c>
      <c r="E184" s="22">
        <v>0.33888888888888891</v>
      </c>
      <c r="F184" s="120">
        <v>45974.337500000001</v>
      </c>
      <c r="G184" s="120">
        <v>45974.708333333336</v>
      </c>
      <c r="H184" s="16">
        <v>1</v>
      </c>
      <c r="I184" s="17">
        <f t="shared" si="144"/>
        <v>7.9000000000232831</v>
      </c>
      <c r="J184" s="18">
        <v>8</v>
      </c>
      <c r="K184" s="19">
        <f t="shared" si="145"/>
        <v>-9.9999999976716936E-2</v>
      </c>
      <c r="L184" s="21">
        <v>0</v>
      </c>
      <c r="M184" s="10">
        <f t="shared" si="149"/>
        <v>21300</v>
      </c>
      <c r="N184" s="20">
        <f t="shared" si="150"/>
        <v>170400</v>
      </c>
      <c r="O184" s="20">
        <f t="shared" si="147"/>
        <v>0</v>
      </c>
      <c r="P184" s="20">
        <f>O169</f>
        <v>38000</v>
      </c>
      <c r="Q184" s="20">
        <f t="shared" si="148"/>
        <v>208400</v>
      </c>
    </row>
    <row r="185" spans="1:17" ht="15" customHeight="1" x14ac:dyDescent="0.25">
      <c r="A185" s="27">
        <v>14</v>
      </c>
      <c r="B185" s="14">
        <v>45975</v>
      </c>
      <c r="C185" s="14" t="s">
        <v>26</v>
      </c>
      <c r="D185" s="15" t="s">
        <v>18</v>
      </c>
      <c r="E185" s="22">
        <v>0.33611111111111114</v>
      </c>
      <c r="F185" s="120">
        <v>45975.336111111108</v>
      </c>
      <c r="G185" s="120">
        <v>45975.708333333336</v>
      </c>
      <c r="H185" s="16">
        <v>1</v>
      </c>
      <c r="I185" s="17">
        <f t="shared" si="144"/>
        <v>7.9333333334652707</v>
      </c>
      <c r="J185" s="18">
        <v>8</v>
      </c>
      <c r="K185" s="19">
        <f t="shared" ref="K185:K186" si="151">I185-J185</f>
        <v>-6.6666666534729302E-2</v>
      </c>
      <c r="L185" s="21">
        <v>0</v>
      </c>
      <c r="M185" s="10">
        <f t="shared" si="149"/>
        <v>21300</v>
      </c>
      <c r="N185" s="20">
        <f t="shared" ref="N185:N186" si="152">J185*M185</f>
        <v>170400</v>
      </c>
      <c r="O185" s="20">
        <f t="shared" ref="O185:O186" si="153">L185*M185</f>
        <v>0</v>
      </c>
      <c r="P185" s="20">
        <f>O169</f>
        <v>38000</v>
      </c>
      <c r="Q185" s="20">
        <f t="shared" ref="Q185:Q186" si="154">N185+O185+P185</f>
        <v>208400</v>
      </c>
    </row>
    <row r="186" spans="1:17" ht="15" customHeight="1" x14ac:dyDescent="0.25">
      <c r="A186" s="27">
        <v>15</v>
      </c>
      <c r="B186" s="14">
        <v>45978</v>
      </c>
      <c r="C186" s="14" t="s">
        <v>27</v>
      </c>
      <c r="D186" s="15" t="s">
        <v>18</v>
      </c>
      <c r="E186" s="22">
        <v>0.33819444444444446</v>
      </c>
      <c r="F186" s="120">
        <v>45978.338194444441</v>
      </c>
      <c r="G186" s="120">
        <v>45978.708333333336</v>
      </c>
      <c r="H186" s="16">
        <v>1</v>
      </c>
      <c r="I186" s="17">
        <f t="shared" si="144"/>
        <v>7.8833333334769122</v>
      </c>
      <c r="J186" s="18">
        <v>8</v>
      </c>
      <c r="K186" s="19">
        <f t="shared" si="151"/>
        <v>-0.11666666652308777</v>
      </c>
      <c r="L186" s="21">
        <v>0</v>
      </c>
      <c r="M186" s="10">
        <f t="shared" si="149"/>
        <v>21300</v>
      </c>
      <c r="N186" s="20">
        <f t="shared" si="152"/>
        <v>170400</v>
      </c>
      <c r="O186" s="20">
        <f t="shared" si="153"/>
        <v>0</v>
      </c>
      <c r="P186" s="20">
        <f>O169</f>
        <v>38000</v>
      </c>
      <c r="Q186" s="20">
        <f t="shared" si="154"/>
        <v>208400</v>
      </c>
    </row>
    <row r="187" spans="1:17" ht="15" customHeight="1" x14ac:dyDescent="0.25">
      <c r="A187" s="27">
        <v>16</v>
      </c>
      <c r="B187" s="14">
        <v>45979</v>
      </c>
      <c r="C187" s="14" t="s">
        <v>22</v>
      </c>
      <c r="D187" s="15" t="s">
        <v>18</v>
      </c>
      <c r="E187" s="22">
        <v>0.33750000000000002</v>
      </c>
      <c r="F187" s="120">
        <v>45979.337500000001</v>
      </c>
      <c r="G187" s="120">
        <v>45979.708333333336</v>
      </c>
      <c r="H187" s="16">
        <v>1</v>
      </c>
      <c r="I187" s="17">
        <f t="shared" si="144"/>
        <v>7.9000000000232831</v>
      </c>
      <c r="J187" s="18">
        <v>8</v>
      </c>
      <c r="K187" s="19">
        <f t="shared" ref="K187" si="155">I187-J187</f>
        <v>-9.9999999976716936E-2</v>
      </c>
      <c r="L187" s="21">
        <v>0</v>
      </c>
      <c r="M187" s="10">
        <f t="shared" si="149"/>
        <v>21300</v>
      </c>
      <c r="N187" s="20">
        <f t="shared" ref="N187" si="156">J187*M187</f>
        <v>170400</v>
      </c>
      <c r="O187" s="20">
        <f t="shared" ref="O187" si="157">L187*M187</f>
        <v>0</v>
      </c>
      <c r="P187" s="20">
        <f>O169</f>
        <v>38000</v>
      </c>
      <c r="Q187" s="20">
        <f t="shared" ref="Q187" si="158">N187+O187+P187</f>
        <v>208400</v>
      </c>
    </row>
    <row r="188" spans="1:17" ht="15" customHeight="1" x14ac:dyDescent="0.25">
      <c r="A188" s="27">
        <v>17</v>
      </c>
      <c r="B188" s="14">
        <v>45980</v>
      </c>
      <c r="C188" s="14" t="s">
        <v>28</v>
      </c>
      <c r="D188" s="15" t="s">
        <v>18</v>
      </c>
      <c r="E188" s="22">
        <v>0.33680555555555558</v>
      </c>
      <c r="F188" s="120">
        <v>45980.336805555555</v>
      </c>
      <c r="G188" s="120">
        <v>45980.708333333336</v>
      </c>
      <c r="H188" s="16">
        <v>1</v>
      </c>
      <c r="I188" s="17">
        <f t="shared" si="144"/>
        <v>7.9166666667442769</v>
      </c>
      <c r="J188" s="18">
        <v>8</v>
      </c>
      <c r="K188" s="19">
        <f t="shared" ref="K188" si="159">I188-J188</f>
        <v>-8.3333333255723119E-2</v>
      </c>
      <c r="L188" s="21">
        <v>0</v>
      </c>
      <c r="M188" s="10">
        <f t="shared" si="149"/>
        <v>21300</v>
      </c>
      <c r="N188" s="20">
        <f t="shared" ref="N188" si="160">J188*M188</f>
        <v>170400</v>
      </c>
      <c r="O188" s="20">
        <f t="shared" ref="O188" si="161">L188*M188</f>
        <v>0</v>
      </c>
      <c r="P188" s="20">
        <f>O169</f>
        <v>38000</v>
      </c>
      <c r="Q188" s="20">
        <f t="shared" ref="Q188" si="162">N188+O188+P188</f>
        <v>208400</v>
      </c>
    </row>
    <row r="189" spans="1:17" ht="15" customHeight="1" x14ac:dyDescent="0.25">
      <c r="A189" s="27">
        <v>18</v>
      </c>
      <c r="B189" s="14">
        <v>45981</v>
      </c>
      <c r="C189" s="14" t="s">
        <v>25</v>
      </c>
      <c r="D189" s="15" t="s">
        <v>18</v>
      </c>
      <c r="E189" s="22">
        <v>0.33819444444444446</v>
      </c>
      <c r="F189" s="120">
        <v>45981.338194444441</v>
      </c>
      <c r="G189" s="120">
        <v>45981.708333333336</v>
      </c>
      <c r="H189" s="16">
        <v>1</v>
      </c>
      <c r="I189" s="17">
        <f t="shared" si="144"/>
        <v>7.8833333334769122</v>
      </c>
      <c r="J189" s="18">
        <v>8</v>
      </c>
      <c r="K189" s="19">
        <f t="shared" ref="K189" si="163">I189-J189</f>
        <v>-0.11666666652308777</v>
      </c>
      <c r="L189" s="21">
        <v>0</v>
      </c>
      <c r="M189" s="10">
        <f t="shared" si="149"/>
        <v>21300</v>
      </c>
      <c r="N189" s="20">
        <f t="shared" ref="N189" si="164">J189*M189</f>
        <v>170400</v>
      </c>
      <c r="O189" s="20">
        <f t="shared" ref="O189" si="165">L189*M189</f>
        <v>0</v>
      </c>
      <c r="P189" s="20">
        <f>O169</f>
        <v>38000</v>
      </c>
      <c r="Q189" s="20">
        <f t="shared" ref="Q189" si="166">N189+O189+P189</f>
        <v>208400</v>
      </c>
    </row>
    <row r="190" spans="1:17" ht="15" customHeight="1" x14ac:dyDescent="0.25">
      <c r="A190" s="27">
        <v>19</v>
      </c>
      <c r="B190" s="14">
        <v>45982</v>
      </c>
      <c r="C190" s="14" t="s">
        <v>26</v>
      </c>
      <c r="D190" s="15" t="s">
        <v>18</v>
      </c>
      <c r="E190" s="22">
        <v>0.33819444444444446</v>
      </c>
      <c r="F190" s="120">
        <v>45982.338194444441</v>
      </c>
      <c r="G190" s="120">
        <v>45982.708333333336</v>
      </c>
      <c r="H190" s="16">
        <v>1</v>
      </c>
      <c r="I190" s="17">
        <f t="shared" si="144"/>
        <v>7.8833333334769122</v>
      </c>
      <c r="J190" s="18">
        <v>8</v>
      </c>
      <c r="K190" s="19">
        <f t="shared" ref="K190" si="167">I190-J190</f>
        <v>-0.11666666652308777</v>
      </c>
      <c r="L190" s="21">
        <v>0</v>
      </c>
      <c r="M190" s="10">
        <f t="shared" si="149"/>
        <v>21300</v>
      </c>
      <c r="N190" s="20">
        <f t="shared" ref="N190" si="168">J190*M190</f>
        <v>170400</v>
      </c>
      <c r="O190" s="20">
        <f t="shared" ref="O190" si="169">L190*M190</f>
        <v>0</v>
      </c>
      <c r="P190" s="20">
        <f>O169</f>
        <v>38000</v>
      </c>
      <c r="Q190" s="20">
        <f t="shared" ref="Q190" si="170">N190+O190+P190</f>
        <v>208400</v>
      </c>
    </row>
    <row r="191" spans="1:17" ht="15" customHeight="1" x14ac:dyDescent="0.25">
      <c r="A191" s="27">
        <v>20</v>
      </c>
      <c r="B191" s="14">
        <v>45985</v>
      </c>
      <c r="C191" s="14" t="s">
        <v>27</v>
      </c>
      <c r="D191" s="15" t="s">
        <v>18</v>
      </c>
      <c r="E191" s="22">
        <v>0.33819444444444446</v>
      </c>
      <c r="F191" s="120">
        <v>45985.338194444441</v>
      </c>
      <c r="G191" s="120">
        <v>45985.708333333336</v>
      </c>
      <c r="H191" s="16">
        <v>1</v>
      </c>
      <c r="I191" s="17">
        <f t="shared" si="144"/>
        <v>7.8833333334769122</v>
      </c>
      <c r="J191" s="18">
        <v>8</v>
      </c>
      <c r="K191" s="19">
        <f t="shared" ref="K191" si="171">I191-J191</f>
        <v>-0.11666666652308777</v>
      </c>
      <c r="L191" s="21">
        <v>0</v>
      </c>
      <c r="M191" s="10">
        <f t="shared" si="149"/>
        <v>21300</v>
      </c>
      <c r="N191" s="20">
        <f t="shared" ref="N191" si="172">J191*M191</f>
        <v>170400</v>
      </c>
      <c r="O191" s="20">
        <f t="shared" ref="O191" si="173">L191*M191</f>
        <v>0</v>
      </c>
      <c r="P191" s="20">
        <f>O169</f>
        <v>38000</v>
      </c>
      <c r="Q191" s="20">
        <f t="shared" ref="Q191" si="174">N191+O191+P191</f>
        <v>208400</v>
      </c>
    </row>
    <row r="192" spans="1:17" ht="15" customHeight="1" x14ac:dyDescent="0.25">
      <c r="A192" s="27">
        <v>21</v>
      </c>
      <c r="B192" s="14">
        <v>45986</v>
      </c>
      <c r="C192" s="14" t="s">
        <v>22</v>
      </c>
      <c r="D192" s="15" t="s">
        <v>18</v>
      </c>
      <c r="E192" s="22">
        <v>0.33680555555555558</v>
      </c>
      <c r="F192" s="120">
        <v>45986.336805555555</v>
      </c>
      <c r="G192" s="120">
        <v>45986.708333333336</v>
      </c>
      <c r="H192" s="16">
        <v>1</v>
      </c>
      <c r="I192" s="17">
        <f t="shared" ref="I192" si="175">((G192-F192)*24)-H192</f>
        <v>7.9166666667442769</v>
      </c>
      <c r="J192" s="18">
        <v>8</v>
      </c>
      <c r="K192" s="19">
        <f t="shared" ref="K192" si="176">I192-J192</f>
        <v>-8.3333333255723119E-2</v>
      </c>
      <c r="L192" s="21">
        <v>0</v>
      </c>
      <c r="M192" s="10">
        <f t="shared" si="149"/>
        <v>21300</v>
      </c>
      <c r="N192" s="20">
        <f t="shared" ref="N192" si="177">J192*M192</f>
        <v>170400</v>
      </c>
      <c r="O192" s="20">
        <f t="shared" ref="O192" si="178">L192*M192</f>
        <v>0</v>
      </c>
      <c r="P192" s="20">
        <f>O169</f>
        <v>38000</v>
      </c>
      <c r="Q192" s="20">
        <f t="shared" ref="Q192" si="179">N192+O192+P192</f>
        <v>208400</v>
      </c>
    </row>
    <row r="193" spans="1:18" ht="15" customHeight="1" x14ac:dyDescent="0.25">
      <c r="A193" s="27">
        <v>22</v>
      </c>
      <c r="B193" s="14">
        <v>45987</v>
      </c>
      <c r="C193" s="14" t="s">
        <v>28</v>
      </c>
      <c r="D193" s="15" t="s">
        <v>18</v>
      </c>
      <c r="E193" s="22">
        <v>0.33750000000000002</v>
      </c>
      <c r="F193" s="120">
        <v>45987.337500000001</v>
      </c>
      <c r="G193" s="120">
        <v>45987.708333333336</v>
      </c>
      <c r="H193" s="16">
        <v>1</v>
      </c>
      <c r="I193" s="17">
        <f t="shared" ref="I193" si="180">((G193-F193)*24)-H193</f>
        <v>7.9000000000232831</v>
      </c>
      <c r="J193" s="18">
        <v>8</v>
      </c>
      <c r="K193" s="19">
        <f t="shared" ref="K193" si="181">I193-J193</f>
        <v>-9.9999999976716936E-2</v>
      </c>
      <c r="L193" s="21">
        <v>0</v>
      </c>
      <c r="M193" s="10">
        <f t="shared" si="149"/>
        <v>21300</v>
      </c>
      <c r="N193" s="20">
        <f t="shared" ref="N193" si="182">J193*M193</f>
        <v>170400</v>
      </c>
      <c r="O193" s="20">
        <f t="shared" ref="O193" si="183">L193*M193</f>
        <v>0</v>
      </c>
      <c r="P193" s="20">
        <f>O169</f>
        <v>38000</v>
      </c>
      <c r="Q193" s="20">
        <f t="shared" ref="Q193" si="184">N193+O193+P193</f>
        <v>208400</v>
      </c>
    </row>
    <row r="194" spans="1:18" ht="15" customHeight="1" x14ac:dyDescent="0.25">
      <c r="A194" s="27">
        <v>23</v>
      </c>
      <c r="B194" s="14">
        <v>45988</v>
      </c>
      <c r="C194" s="14" t="s">
        <v>25</v>
      </c>
      <c r="D194" s="15" t="s">
        <v>18</v>
      </c>
      <c r="E194" s="22">
        <v>0.33819444444444446</v>
      </c>
      <c r="F194" s="120">
        <v>45988.338194444441</v>
      </c>
      <c r="G194" s="120">
        <v>45988.791666666664</v>
      </c>
      <c r="H194" s="16">
        <v>1</v>
      </c>
      <c r="I194" s="17">
        <f t="shared" si="144"/>
        <v>9.8833333333604969</v>
      </c>
      <c r="J194" s="18">
        <v>8</v>
      </c>
      <c r="K194" s="19">
        <f t="shared" si="145"/>
        <v>1.8833333333604969</v>
      </c>
      <c r="L194" s="21">
        <f>K194*2-0.5</f>
        <v>3.2666666667209938</v>
      </c>
      <c r="M194" s="10">
        <f t="shared" si="149"/>
        <v>21300</v>
      </c>
      <c r="N194" s="20">
        <f t="shared" si="150"/>
        <v>170400</v>
      </c>
      <c r="O194" s="20">
        <f t="shared" si="147"/>
        <v>69580.000001157168</v>
      </c>
      <c r="P194" s="20">
        <f>O169</f>
        <v>38000</v>
      </c>
      <c r="Q194" s="20">
        <f t="shared" si="148"/>
        <v>277980.00000115717</v>
      </c>
    </row>
    <row r="195" spans="1:18" ht="15" customHeight="1" x14ac:dyDescent="0.25">
      <c r="A195" s="152" t="s">
        <v>19</v>
      </c>
      <c r="B195" s="153"/>
      <c r="C195" s="154"/>
      <c r="D195" s="94"/>
      <c r="E195" s="95"/>
      <c r="F195" s="96"/>
      <c r="G195" s="97"/>
      <c r="H195" s="98"/>
      <c r="I195" s="37"/>
      <c r="J195" s="36"/>
      <c r="K195" s="99"/>
      <c r="L195" s="100"/>
      <c r="M195" s="101"/>
      <c r="N195" s="102">
        <f>SUM(N172:N194)</f>
        <v>3684900</v>
      </c>
      <c r="O195" s="102">
        <f>SUM(O172:O194)</f>
        <v>1320599.9999851221</v>
      </c>
      <c r="P195" s="102">
        <f>SUM(P172:P194)</f>
        <v>874000</v>
      </c>
      <c r="Q195" s="102">
        <f>SUM(Q172:Q194)</f>
        <v>5879499.9999851212</v>
      </c>
      <c r="R195" s="116"/>
    </row>
    <row r="196" spans="1:18" ht="15" customHeight="1" x14ac:dyDescent="0.25">
      <c r="A196" s="8"/>
      <c r="B196" s="103"/>
      <c r="C196" s="103"/>
      <c r="D196" s="104"/>
      <c r="E196" s="104"/>
      <c r="F196" s="105"/>
      <c r="G196" s="106"/>
      <c r="H196" s="107"/>
      <c r="I196" s="107"/>
      <c r="J196" s="8"/>
      <c r="K196" s="8"/>
      <c r="N196" s="211" t="s">
        <v>35</v>
      </c>
      <c r="O196" s="212"/>
      <c r="P196" s="213"/>
      <c r="Q196" s="89">
        <f>SUM(Q195:Q195)</f>
        <v>5879499.9999851212</v>
      </c>
      <c r="R196" s="116"/>
    </row>
    <row r="197" spans="1:18" ht="15" customHeight="1" x14ac:dyDescent="0.25">
      <c r="A197" s="8"/>
      <c r="B197" s="103"/>
      <c r="C197" s="103"/>
      <c r="D197" s="104"/>
      <c r="E197" s="104"/>
      <c r="F197" s="105"/>
      <c r="G197" s="106"/>
      <c r="H197" s="107"/>
      <c r="I197" s="107"/>
      <c r="J197" s="8"/>
      <c r="K197" s="8"/>
      <c r="N197" s="214" t="s">
        <v>38</v>
      </c>
      <c r="O197" s="170"/>
      <c r="P197" s="170"/>
      <c r="Q197" s="23">
        <v>60000</v>
      </c>
      <c r="R197" s="116"/>
    </row>
    <row r="198" spans="1:18" ht="15" customHeight="1" x14ac:dyDescent="0.25">
      <c r="A198" s="8"/>
      <c r="B198" s="103"/>
      <c r="C198" s="103"/>
      <c r="D198" s="104"/>
      <c r="E198" s="104"/>
      <c r="F198" s="105"/>
      <c r="G198" s="106"/>
      <c r="H198" s="107"/>
      <c r="I198" s="107"/>
      <c r="J198" s="8"/>
      <c r="K198" s="8"/>
      <c r="N198" s="211" t="s">
        <v>46</v>
      </c>
      <c r="O198" s="212"/>
      <c r="P198" s="213"/>
      <c r="Q198" s="89">
        <v>0</v>
      </c>
      <c r="R198" s="116"/>
    </row>
    <row r="199" spans="1:18" ht="15" customHeight="1" x14ac:dyDescent="0.25">
      <c r="A199" s="8"/>
      <c r="B199" s="103"/>
      <c r="C199" s="103"/>
      <c r="D199" s="104"/>
      <c r="E199" s="104"/>
      <c r="F199" s="105"/>
      <c r="G199" s="106"/>
      <c r="H199" s="107"/>
      <c r="I199" s="107"/>
      <c r="J199" s="8"/>
      <c r="K199" s="8"/>
      <c r="N199" s="200" t="s">
        <v>35</v>
      </c>
      <c r="O199" s="201"/>
      <c r="P199" s="202"/>
      <c r="Q199" s="93">
        <f>Q196-Q197-Q198</f>
        <v>5819499.9999851212</v>
      </c>
      <c r="R199" s="116"/>
    </row>
    <row r="200" spans="1:18" ht="15" customHeight="1" x14ac:dyDescent="0.25">
      <c r="A200" s="8"/>
      <c r="B200" s="103"/>
      <c r="C200" s="103"/>
      <c r="D200" s="104"/>
      <c r="E200" s="104"/>
      <c r="F200" s="105"/>
      <c r="G200" s="106"/>
      <c r="H200" s="107"/>
      <c r="I200" s="107"/>
      <c r="J200" s="8"/>
      <c r="K200" s="8"/>
      <c r="N200" s="8"/>
      <c r="O200" s="8"/>
      <c r="P200" s="8"/>
      <c r="Q200" s="8"/>
    </row>
    <row r="201" spans="1:18" ht="15" customHeight="1" x14ac:dyDescent="0.25">
      <c r="R201" s="117"/>
    </row>
    <row r="202" spans="1:18" ht="15" customHeight="1" x14ac:dyDescent="0.25">
      <c r="R202" s="117"/>
    </row>
    <row r="203" spans="1:18" ht="15" customHeight="1" x14ac:dyDescent="0.25">
      <c r="R203" s="117"/>
    </row>
    <row r="204" spans="1:18" ht="15" customHeight="1" x14ac:dyDescent="0.25">
      <c r="R204" s="117"/>
    </row>
    <row r="205" spans="1:18" ht="15" customHeight="1" x14ac:dyDescent="0.25">
      <c r="R205" s="117"/>
    </row>
    <row r="206" spans="1:18" ht="15" customHeight="1" x14ac:dyDescent="0.25">
      <c r="R206" s="117"/>
    </row>
    <row r="207" spans="1:18" ht="15" customHeight="1" x14ac:dyDescent="0.25">
      <c r="R207" s="117"/>
    </row>
    <row r="208" spans="1:18" ht="15" customHeight="1" x14ac:dyDescent="0.25">
      <c r="R208" s="117"/>
    </row>
    <row r="209" spans="1:18" ht="15" customHeight="1" x14ac:dyDescent="0.25">
      <c r="R209" s="117"/>
    </row>
    <row r="210" spans="1:18" ht="15" customHeight="1" x14ac:dyDescent="0.25">
      <c r="R210" s="117"/>
    </row>
    <row r="211" spans="1:18" ht="15" customHeight="1" x14ac:dyDescent="0.25">
      <c r="A211" s="54"/>
      <c r="B211" s="64" t="s">
        <v>0</v>
      </c>
      <c r="C211" s="65"/>
      <c r="D211" s="66" t="s">
        <v>45</v>
      </c>
      <c r="E211" s="66"/>
      <c r="F211" s="65"/>
      <c r="G211" s="66"/>
      <c r="H211" s="66"/>
      <c r="I211" s="66"/>
      <c r="J211" s="66"/>
      <c r="K211" s="66"/>
      <c r="L211" s="66"/>
      <c r="M211" s="66" t="s">
        <v>21</v>
      </c>
      <c r="N211" s="65" t="s">
        <v>20</v>
      </c>
      <c r="O211" s="67">
        <v>19700</v>
      </c>
      <c r="P211" s="68" t="s">
        <v>23</v>
      </c>
      <c r="Q211" s="66"/>
    </row>
    <row r="212" spans="1:18" ht="15" customHeight="1" x14ac:dyDescent="0.25">
      <c r="A212" s="54"/>
      <c r="B212" s="64" t="s">
        <v>1</v>
      </c>
      <c r="C212" s="65"/>
      <c r="D212" s="66" t="s">
        <v>40</v>
      </c>
      <c r="E212" s="66"/>
      <c r="F212" s="65"/>
      <c r="G212" s="66"/>
      <c r="H212" s="66"/>
      <c r="I212" s="66"/>
      <c r="J212" s="66"/>
      <c r="K212" s="66"/>
      <c r="L212" s="66"/>
      <c r="M212" s="66" t="s">
        <v>2</v>
      </c>
      <c r="N212" s="65" t="s">
        <v>20</v>
      </c>
      <c r="O212" s="67">
        <f>37000+1000</f>
        <v>38000</v>
      </c>
      <c r="P212" s="68" t="s">
        <v>24</v>
      </c>
      <c r="Q212" s="66"/>
    </row>
    <row r="213" spans="1:18" ht="15" customHeight="1" x14ac:dyDescent="0.25">
      <c r="A213" s="203" t="s">
        <v>36</v>
      </c>
      <c r="B213" s="205" t="s">
        <v>3</v>
      </c>
      <c r="C213" s="205" t="s">
        <v>4</v>
      </c>
      <c r="D213" s="206" t="s">
        <v>5</v>
      </c>
      <c r="E213" s="206" t="s">
        <v>34</v>
      </c>
      <c r="F213" s="203" t="s">
        <v>6</v>
      </c>
      <c r="G213" s="208" t="s">
        <v>7</v>
      </c>
      <c r="H213" s="206" t="s">
        <v>8</v>
      </c>
      <c r="I213" s="210" t="s">
        <v>9</v>
      </c>
      <c r="J213" s="188" t="s">
        <v>10</v>
      </c>
      <c r="K213" s="188" t="s">
        <v>11</v>
      </c>
      <c r="L213" s="188" t="s">
        <v>12</v>
      </c>
      <c r="M213" s="188" t="s">
        <v>13</v>
      </c>
      <c r="N213" s="188" t="s">
        <v>14</v>
      </c>
      <c r="O213" s="188" t="s">
        <v>15</v>
      </c>
      <c r="P213" s="188" t="s">
        <v>16</v>
      </c>
      <c r="Q213" s="188" t="s">
        <v>17</v>
      </c>
    </row>
    <row r="214" spans="1:18" ht="15" customHeight="1" x14ac:dyDescent="0.25">
      <c r="A214" s="204"/>
      <c r="B214" s="205"/>
      <c r="C214" s="205"/>
      <c r="D214" s="207"/>
      <c r="E214" s="207"/>
      <c r="F214" s="204"/>
      <c r="G214" s="209"/>
      <c r="H214" s="207"/>
      <c r="I214" s="210"/>
      <c r="J214" s="188"/>
      <c r="K214" s="188"/>
      <c r="L214" s="188"/>
      <c r="M214" s="188"/>
      <c r="N214" s="188"/>
      <c r="O214" s="188"/>
      <c r="P214" s="188"/>
      <c r="Q214" s="188"/>
    </row>
    <row r="215" spans="1:18" ht="15" customHeight="1" x14ac:dyDescent="0.25">
      <c r="A215" s="26">
        <v>1</v>
      </c>
      <c r="B215" s="24">
        <v>45960</v>
      </c>
      <c r="C215" s="24" t="s">
        <v>25</v>
      </c>
      <c r="D215" s="25" t="s">
        <v>18</v>
      </c>
      <c r="E215" s="28">
        <v>0.33194444444444443</v>
      </c>
      <c r="F215" s="121">
        <v>45960.333333333336</v>
      </c>
      <c r="G215" s="122">
        <v>45960.833333333336</v>
      </c>
      <c r="H215" s="29">
        <v>2</v>
      </c>
      <c r="I215" s="30">
        <f t="shared" ref="I215:I238" si="185">((G215-F215)*24)-H215</f>
        <v>10</v>
      </c>
      <c r="J215" s="31">
        <v>8</v>
      </c>
      <c r="K215" s="32">
        <f>I215-J215</f>
        <v>2</v>
      </c>
      <c r="L215" s="33">
        <f>((I215-J215)*2)-0.5</f>
        <v>3.5</v>
      </c>
      <c r="M215" s="34">
        <f t="shared" ref="M215:M239" si="186">$O$211</f>
        <v>19700</v>
      </c>
      <c r="N215" s="35">
        <f t="shared" ref="N215:N219" si="187">J215*M215</f>
        <v>157600</v>
      </c>
      <c r="O215" s="35">
        <f t="shared" ref="O215:O219" si="188">L215*M215</f>
        <v>68950</v>
      </c>
      <c r="P215" s="35">
        <f>O212</f>
        <v>38000</v>
      </c>
      <c r="Q215" s="35">
        <f>N215+O215+P215</f>
        <v>264550</v>
      </c>
    </row>
    <row r="216" spans="1:18" ht="15" customHeight="1" x14ac:dyDescent="0.25">
      <c r="A216" s="26">
        <v>2</v>
      </c>
      <c r="B216" s="24">
        <v>45961</v>
      </c>
      <c r="C216" s="24" t="s">
        <v>26</v>
      </c>
      <c r="D216" s="25" t="s">
        <v>18</v>
      </c>
      <c r="E216" s="28">
        <v>0.33124999999999999</v>
      </c>
      <c r="F216" s="121">
        <v>45961.333333333336</v>
      </c>
      <c r="G216" s="122">
        <v>45961.958333333336</v>
      </c>
      <c r="H216" s="29">
        <v>2</v>
      </c>
      <c r="I216" s="30">
        <f t="shared" ref="I216" si="189">((G216-F216)*24)-H216</f>
        <v>13</v>
      </c>
      <c r="J216" s="31">
        <v>8</v>
      </c>
      <c r="K216" s="32">
        <f>I216-J216</f>
        <v>5</v>
      </c>
      <c r="L216" s="33">
        <f>((I216-J216)*2)-0.5</f>
        <v>9.5</v>
      </c>
      <c r="M216" s="34">
        <f t="shared" si="186"/>
        <v>19700</v>
      </c>
      <c r="N216" s="35">
        <f t="shared" ref="N216" si="190">J216*M216</f>
        <v>157600</v>
      </c>
      <c r="O216" s="35">
        <f t="shared" ref="O216" si="191">L216*M216</f>
        <v>187150</v>
      </c>
      <c r="P216" s="35">
        <f>O212</f>
        <v>38000</v>
      </c>
      <c r="Q216" s="35">
        <f>N216+O216+P216</f>
        <v>382750</v>
      </c>
    </row>
    <row r="217" spans="1:18" ht="15" customHeight="1" x14ac:dyDescent="0.25">
      <c r="A217" s="26">
        <v>3</v>
      </c>
      <c r="B217" s="24">
        <v>45965</v>
      </c>
      <c r="C217" s="24" t="s">
        <v>22</v>
      </c>
      <c r="D217" s="25" t="s">
        <v>18</v>
      </c>
      <c r="E217" s="28">
        <v>0.32847222222222222</v>
      </c>
      <c r="F217" s="121">
        <v>45965.333333333336</v>
      </c>
      <c r="G217" s="122">
        <v>45965.708333333336</v>
      </c>
      <c r="H217" s="29">
        <v>1</v>
      </c>
      <c r="I217" s="30">
        <f t="shared" si="185"/>
        <v>8</v>
      </c>
      <c r="J217" s="31">
        <v>8</v>
      </c>
      <c r="K217" s="32">
        <f>I217-J217</f>
        <v>0</v>
      </c>
      <c r="L217" s="33">
        <v>0</v>
      </c>
      <c r="M217" s="34">
        <f t="shared" si="186"/>
        <v>19700</v>
      </c>
      <c r="N217" s="35">
        <f>J217*M217</f>
        <v>157600</v>
      </c>
      <c r="O217" s="35">
        <f t="shared" si="188"/>
        <v>0</v>
      </c>
      <c r="P217" s="35">
        <f>O212</f>
        <v>38000</v>
      </c>
      <c r="Q217" s="35">
        <f>N217+O217+P217</f>
        <v>195600</v>
      </c>
    </row>
    <row r="218" spans="1:18" ht="15" customHeight="1" x14ac:dyDescent="0.25">
      <c r="A218" s="26">
        <v>4</v>
      </c>
      <c r="B218" s="24">
        <v>45966</v>
      </c>
      <c r="C218" s="24" t="s">
        <v>28</v>
      </c>
      <c r="D218" s="25" t="s">
        <v>18</v>
      </c>
      <c r="E218" s="28">
        <v>0.32083333333333336</v>
      </c>
      <c r="F218" s="121">
        <v>45966.333333333336</v>
      </c>
      <c r="G218" s="122">
        <v>45966.916666666664</v>
      </c>
      <c r="H218" s="29">
        <v>2</v>
      </c>
      <c r="I218" s="30">
        <f t="shared" si="185"/>
        <v>11.999999999883585</v>
      </c>
      <c r="J218" s="31">
        <v>8</v>
      </c>
      <c r="K218" s="32">
        <f>I218-J218</f>
        <v>3.9999999998835847</v>
      </c>
      <c r="L218" s="33">
        <f>((I218-J218)*2)-0.5</f>
        <v>7.4999999997671694</v>
      </c>
      <c r="M218" s="34">
        <f t="shared" si="186"/>
        <v>19700</v>
      </c>
      <c r="N218" s="35">
        <f t="shared" si="187"/>
        <v>157600</v>
      </c>
      <c r="O218" s="35">
        <f t="shared" si="188"/>
        <v>147749.99999541324</v>
      </c>
      <c r="P218" s="35">
        <f>O212</f>
        <v>38000</v>
      </c>
      <c r="Q218" s="35">
        <f>N218+O218+P218</f>
        <v>343349.99999541324</v>
      </c>
    </row>
    <row r="219" spans="1:18" ht="15" customHeight="1" x14ac:dyDescent="0.25">
      <c r="A219" s="26">
        <v>5</v>
      </c>
      <c r="B219" s="24">
        <v>45967</v>
      </c>
      <c r="C219" s="24" t="s">
        <v>25</v>
      </c>
      <c r="D219" s="25" t="s">
        <v>18</v>
      </c>
      <c r="E219" s="28">
        <v>0.32222222222222224</v>
      </c>
      <c r="F219" s="121">
        <v>45967.333333333336</v>
      </c>
      <c r="G219" s="122">
        <v>45967.791666666664</v>
      </c>
      <c r="H219" s="29">
        <v>1</v>
      </c>
      <c r="I219" s="30">
        <f t="shared" si="185"/>
        <v>9.9999999998835847</v>
      </c>
      <c r="J219" s="31">
        <v>8</v>
      </c>
      <c r="K219" s="32">
        <f t="shared" ref="K219:K238" si="192">I219-J219</f>
        <v>1.9999999998835847</v>
      </c>
      <c r="L219" s="33">
        <f>((I219-J219)*2)-0.5</f>
        <v>3.4999999997671694</v>
      </c>
      <c r="M219" s="34">
        <f t="shared" si="186"/>
        <v>19700</v>
      </c>
      <c r="N219" s="35">
        <f t="shared" si="187"/>
        <v>157600</v>
      </c>
      <c r="O219" s="35">
        <f t="shared" si="188"/>
        <v>68949.999995413236</v>
      </c>
      <c r="P219" s="35">
        <f>O212</f>
        <v>38000</v>
      </c>
      <c r="Q219" s="35">
        <f t="shared" ref="Q219:Q238" si="193">N219+O219+P219</f>
        <v>264549.99999541324</v>
      </c>
    </row>
    <row r="220" spans="1:18" ht="15" customHeight="1" x14ac:dyDescent="0.25">
      <c r="A220" s="26">
        <v>6</v>
      </c>
      <c r="B220" s="24">
        <v>45968</v>
      </c>
      <c r="C220" s="24" t="s">
        <v>26</v>
      </c>
      <c r="D220" s="25" t="s">
        <v>18</v>
      </c>
      <c r="E220" s="28">
        <v>0.33263888888888887</v>
      </c>
      <c r="F220" s="121">
        <v>45968.333333333336</v>
      </c>
      <c r="G220" s="122">
        <v>45968.916666666664</v>
      </c>
      <c r="H220" s="29">
        <v>2</v>
      </c>
      <c r="I220" s="30">
        <f t="shared" si="185"/>
        <v>11.999999999883585</v>
      </c>
      <c r="J220" s="31">
        <v>8</v>
      </c>
      <c r="K220" s="32">
        <f t="shared" si="192"/>
        <v>3.9999999998835847</v>
      </c>
      <c r="L220" s="33">
        <f>((I220-J220)*2)-0.5</f>
        <v>7.4999999997671694</v>
      </c>
      <c r="M220" s="34">
        <f t="shared" si="186"/>
        <v>19700</v>
      </c>
      <c r="N220" s="35">
        <f>J220*M220</f>
        <v>157600</v>
      </c>
      <c r="O220" s="35">
        <f>L220*M220</f>
        <v>147749.99999541324</v>
      </c>
      <c r="P220" s="35">
        <f>O212</f>
        <v>38000</v>
      </c>
      <c r="Q220" s="35">
        <f t="shared" si="193"/>
        <v>343349.99999541324</v>
      </c>
    </row>
    <row r="221" spans="1:18" ht="15" customHeight="1" x14ac:dyDescent="0.25">
      <c r="A221" s="26">
        <v>7</v>
      </c>
      <c r="B221" s="24">
        <v>45969</v>
      </c>
      <c r="C221" s="24" t="s">
        <v>57</v>
      </c>
      <c r="D221" s="25" t="s">
        <v>18</v>
      </c>
      <c r="E221" s="28">
        <v>0.33055555555555555</v>
      </c>
      <c r="F221" s="121">
        <v>45969.333333333336</v>
      </c>
      <c r="G221" s="122">
        <v>45969.916666666664</v>
      </c>
      <c r="H221" s="29">
        <v>2</v>
      </c>
      <c r="I221" s="30">
        <f t="shared" si="185"/>
        <v>11.999999999883585</v>
      </c>
      <c r="J221" s="31">
        <v>5</v>
      </c>
      <c r="K221" s="32">
        <f t="shared" si="192"/>
        <v>6.9999999998835847</v>
      </c>
      <c r="L221" s="33">
        <f>K221*2-0.5</f>
        <v>13.499999999767169</v>
      </c>
      <c r="M221" s="34">
        <f t="shared" si="186"/>
        <v>19700</v>
      </c>
      <c r="N221" s="35">
        <f t="shared" ref="N221:N236" si="194">J221*M221</f>
        <v>98500</v>
      </c>
      <c r="O221" s="35">
        <f t="shared" ref="O221:O238" si="195">L221*M221</f>
        <v>265949.99999541324</v>
      </c>
      <c r="P221" s="35">
        <f>O212</f>
        <v>38000</v>
      </c>
      <c r="Q221" s="35">
        <f t="shared" si="193"/>
        <v>402449.99999541324</v>
      </c>
    </row>
    <row r="222" spans="1:18" ht="15" customHeight="1" x14ac:dyDescent="0.25">
      <c r="A222" s="125">
        <v>8</v>
      </c>
      <c r="B222" s="126">
        <v>45970</v>
      </c>
      <c r="C222" s="126" t="s">
        <v>54</v>
      </c>
      <c r="D222" s="127" t="s">
        <v>18</v>
      </c>
      <c r="E222" s="128">
        <v>0.33541666666666664</v>
      </c>
      <c r="F222" s="129">
        <v>45970.335416666669</v>
      </c>
      <c r="G222" s="130">
        <v>45970.916666666664</v>
      </c>
      <c r="H222" s="131">
        <v>2</v>
      </c>
      <c r="I222" s="132">
        <f t="shared" si="185"/>
        <v>11.949999999895226</v>
      </c>
      <c r="J222" s="133">
        <v>0</v>
      </c>
      <c r="K222" s="134">
        <f t="shared" si="192"/>
        <v>11.949999999895226</v>
      </c>
      <c r="L222" s="135">
        <f>K222*2-0.5</f>
        <v>23.399999999790452</v>
      </c>
      <c r="M222" s="136">
        <f t="shared" si="186"/>
        <v>19700</v>
      </c>
      <c r="N222" s="137">
        <f t="shared" si="194"/>
        <v>0</v>
      </c>
      <c r="O222" s="137">
        <f t="shared" si="195"/>
        <v>460979.99999587191</v>
      </c>
      <c r="P222" s="137">
        <f>O212</f>
        <v>38000</v>
      </c>
      <c r="Q222" s="137">
        <f t="shared" si="193"/>
        <v>498979.99999587191</v>
      </c>
    </row>
    <row r="223" spans="1:18" ht="15" customHeight="1" x14ac:dyDescent="0.25">
      <c r="A223" s="26">
        <v>9</v>
      </c>
      <c r="B223" s="24">
        <v>45971</v>
      </c>
      <c r="C223" s="24" t="s">
        <v>27</v>
      </c>
      <c r="D223" s="25" t="s">
        <v>18</v>
      </c>
      <c r="E223" s="28">
        <v>0.33402777777777776</v>
      </c>
      <c r="F223" s="121">
        <v>45971.334027777775</v>
      </c>
      <c r="G223" s="122">
        <v>45971.916666666664</v>
      </c>
      <c r="H223" s="29">
        <v>2</v>
      </c>
      <c r="I223" s="30">
        <f t="shared" si="185"/>
        <v>11.983333333337214</v>
      </c>
      <c r="J223" s="31">
        <v>8</v>
      </c>
      <c r="K223" s="32">
        <f t="shared" si="192"/>
        <v>3.9833333333372138</v>
      </c>
      <c r="L223" s="33">
        <f>K223*2</f>
        <v>7.9666666666744277</v>
      </c>
      <c r="M223" s="34">
        <f t="shared" si="186"/>
        <v>19700</v>
      </c>
      <c r="N223" s="35">
        <f t="shared" si="194"/>
        <v>157600</v>
      </c>
      <c r="O223" s="35">
        <f t="shared" si="195"/>
        <v>156943.33333348623</v>
      </c>
      <c r="P223" s="35">
        <f>O212</f>
        <v>38000</v>
      </c>
      <c r="Q223" s="35">
        <f t="shared" si="193"/>
        <v>352543.33333348623</v>
      </c>
    </row>
    <row r="224" spans="1:18" ht="15" customHeight="1" x14ac:dyDescent="0.25">
      <c r="A224" s="26">
        <v>10</v>
      </c>
      <c r="B224" s="24">
        <v>45972</v>
      </c>
      <c r="C224" s="24" t="s">
        <v>22</v>
      </c>
      <c r="D224" s="25" t="s">
        <v>18</v>
      </c>
      <c r="E224" s="28">
        <v>0.33611111111111114</v>
      </c>
      <c r="F224" s="121">
        <v>45972.336111111108</v>
      </c>
      <c r="G224" s="122">
        <v>45972.916666666664</v>
      </c>
      <c r="H224" s="29">
        <v>2</v>
      </c>
      <c r="I224" s="30">
        <f t="shared" si="185"/>
        <v>11.933333333348855</v>
      </c>
      <c r="J224" s="31">
        <v>8</v>
      </c>
      <c r="K224" s="32">
        <f t="shared" si="192"/>
        <v>3.9333333333488554</v>
      </c>
      <c r="L224" s="33">
        <f>K224*2-0.5</f>
        <v>7.3666666666977108</v>
      </c>
      <c r="M224" s="34">
        <f t="shared" si="186"/>
        <v>19700</v>
      </c>
      <c r="N224" s="35">
        <f t="shared" si="194"/>
        <v>157600</v>
      </c>
      <c r="O224" s="35">
        <f t="shared" si="195"/>
        <v>145123.3333339449</v>
      </c>
      <c r="P224" s="35">
        <f>O212</f>
        <v>38000</v>
      </c>
      <c r="Q224" s="35">
        <f t="shared" si="193"/>
        <v>340723.3333339449</v>
      </c>
    </row>
    <row r="225" spans="1:17" ht="15" customHeight="1" x14ac:dyDescent="0.25">
      <c r="A225" s="26">
        <v>11</v>
      </c>
      <c r="B225" s="24">
        <v>45973</v>
      </c>
      <c r="C225" s="24" t="s">
        <v>28</v>
      </c>
      <c r="D225" s="25" t="s">
        <v>18</v>
      </c>
      <c r="E225" s="28">
        <v>0.33263888888888887</v>
      </c>
      <c r="F225" s="121">
        <v>45973.333333333336</v>
      </c>
      <c r="G225" s="122">
        <v>45973.75</v>
      </c>
      <c r="H225" s="29">
        <v>1</v>
      </c>
      <c r="I225" s="30">
        <f t="shared" si="185"/>
        <v>8.9999999999417923</v>
      </c>
      <c r="J225" s="31">
        <v>8</v>
      </c>
      <c r="K225" s="32">
        <f t="shared" si="192"/>
        <v>0.99999999994179234</v>
      </c>
      <c r="L225" s="33">
        <f>K225*2-0.5</f>
        <v>1.4999999998835847</v>
      </c>
      <c r="M225" s="34">
        <f t="shared" si="186"/>
        <v>19700</v>
      </c>
      <c r="N225" s="35">
        <f t="shared" si="194"/>
        <v>157600</v>
      </c>
      <c r="O225" s="35">
        <f t="shared" si="195"/>
        <v>29549.999997706618</v>
      </c>
      <c r="P225" s="35">
        <f>O212</f>
        <v>38000</v>
      </c>
      <c r="Q225" s="35">
        <f t="shared" si="193"/>
        <v>225149.99999770662</v>
      </c>
    </row>
    <row r="226" spans="1:17" ht="15" customHeight="1" x14ac:dyDescent="0.25">
      <c r="A226" s="26">
        <v>12</v>
      </c>
      <c r="B226" s="24">
        <v>45974</v>
      </c>
      <c r="C226" s="24" t="s">
        <v>25</v>
      </c>
      <c r="D226" s="25" t="s">
        <v>18</v>
      </c>
      <c r="E226" s="28">
        <v>0.29305555555555557</v>
      </c>
      <c r="F226" s="121">
        <v>45974.333333333336</v>
      </c>
      <c r="G226" s="122">
        <v>45974.875</v>
      </c>
      <c r="H226" s="29">
        <v>2</v>
      </c>
      <c r="I226" s="30">
        <f t="shared" si="185"/>
        <v>10.999999999941792</v>
      </c>
      <c r="J226" s="31">
        <v>8</v>
      </c>
      <c r="K226" s="32">
        <f t="shared" si="192"/>
        <v>2.9999999999417923</v>
      </c>
      <c r="L226" s="33">
        <f>K226*2-0.5</f>
        <v>5.4999999998835847</v>
      </c>
      <c r="M226" s="34">
        <f t="shared" si="186"/>
        <v>19700</v>
      </c>
      <c r="N226" s="35">
        <f t="shared" si="194"/>
        <v>157600</v>
      </c>
      <c r="O226" s="35">
        <f t="shared" si="195"/>
        <v>108349.99999770662</v>
      </c>
      <c r="P226" s="35">
        <f>O212</f>
        <v>38000</v>
      </c>
      <c r="Q226" s="35">
        <f t="shared" si="193"/>
        <v>303949.99999770662</v>
      </c>
    </row>
    <row r="227" spans="1:17" ht="15" customHeight="1" x14ac:dyDescent="0.25">
      <c r="A227" s="26">
        <v>13</v>
      </c>
      <c r="B227" s="24">
        <v>45975</v>
      </c>
      <c r="C227" s="24" t="s">
        <v>26</v>
      </c>
      <c r="D227" s="25" t="s">
        <v>18</v>
      </c>
      <c r="E227" s="28">
        <v>0.32916666666666666</v>
      </c>
      <c r="F227" s="121">
        <v>45975.333333333336</v>
      </c>
      <c r="G227" s="122">
        <v>45975.791666666664</v>
      </c>
      <c r="H227" s="29">
        <v>1</v>
      </c>
      <c r="I227" s="30">
        <f t="shared" si="185"/>
        <v>9.9999999998835847</v>
      </c>
      <c r="J227" s="31">
        <v>8</v>
      </c>
      <c r="K227" s="32">
        <f t="shared" si="192"/>
        <v>1.9999999998835847</v>
      </c>
      <c r="L227" s="33">
        <f>K227*2-0.5</f>
        <v>3.4999999997671694</v>
      </c>
      <c r="M227" s="34">
        <f t="shared" si="186"/>
        <v>19700</v>
      </c>
      <c r="N227" s="35">
        <f t="shared" si="194"/>
        <v>157600</v>
      </c>
      <c r="O227" s="35">
        <f t="shared" si="195"/>
        <v>68949.999995413236</v>
      </c>
      <c r="P227" s="35">
        <f>O212</f>
        <v>38000</v>
      </c>
      <c r="Q227" s="35">
        <f t="shared" si="193"/>
        <v>264549.99999541324</v>
      </c>
    </row>
    <row r="228" spans="1:17" ht="15" customHeight="1" x14ac:dyDescent="0.25">
      <c r="A228" s="26">
        <v>14</v>
      </c>
      <c r="B228" s="24">
        <v>45976</v>
      </c>
      <c r="C228" s="24" t="s">
        <v>57</v>
      </c>
      <c r="D228" s="25" t="s">
        <v>18</v>
      </c>
      <c r="E228" s="28">
        <v>0.20833333333333334</v>
      </c>
      <c r="F228" s="121">
        <v>45976.208333333336</v>
      </c>
      <c r="G228" s="122">
        <v>45976.458333333336</v>
      </c>
      <c r="H228" s="29">
        <v>1</v>
      </c>
      <c r="I228" s="30">
        <f t="shared" si="185"/>
        <v>5</v>
      </c>
      <c r="J228" s="31">
        <v>5</v>
      </c>
      <c r="K228" s="32">
        <f t="shared" si="192"/>
        <v>0</v>
      </c>
      <c r="L228" s="33">
        <v>0</v>
      </c>
      <c r="M228" s="34">
        <f t="shared" si="186"/>
        <v>19700</v>
      </c>
      <c r="N228" s="35">
        <f t="shared" si="194"/>
        <v>98500</v>
      </c>
      <c r="O228" s="35">
        <f t="shared" si="195"/>
        <v>0</v>
      </c>
      <c r="P228" s="35">
        <f>O212</f>
        <v>38000</v>
      </c>
      <c r="Q228" s="35">
        <f t="shared" si="193"/>
        <v>136500</v>
      </c>
    </row>
    <row r="229" spans="1:17" ht="15" customHeight="1" x14ac:dyDescent="0.25">
      <c r="A229" s="125">
        <v>15</v>
      </c>
      <c r="B229" s="126">
        <v>45977</v>
      </c>
      <c r="C229" s="126" t="s">
        <v>54</v>
      </c>
      <c r="D229" s="127" t="s">
        <v>18</v>
      </c>
      <c r="E229" s="128">
        <v>0.20833333333333334</v>
      </c>
      <c r="F229" s="129">
        <v>45977.208333333336</v>
      </c>
      <c r="G229" s="130">
        <v>45977.791666666664</v>
      </c>
      <c r="H229" s="131">
        <v>1</v>
      </c>
      <c r="I229" s="132">
        <f t="shared" si="185"/>
        <v>12.999999999883585</v>
      </c>
      <c r="J229" s="133">
        <v>0</v>
      </c>
      <c r="K229" s="134">
        <f t="shared" si="192"/>
        <v>12.999999999883585</v>
      </c>
      <c r="L229" s="135">
        <f>K229*2</f>
        <v>25.999999999767169</v>
      </c>
      <c r="M229" s="136">
        <f t="shared" si="186"/>
        <v>19700</v>
      </c>
      <c r="N229" s="137">
        <f t="shared" si="194"/>
        <v>0</v>
      </c>
      <c r="O229" s="137">
        <f t="shared" si="195"/>
        <v>512199.99999541324</v>
      </c>
      <c r="P229" s="137">
        <f>O212</f>
        <v>38000</v>
      </c>
      <c r="Q229" s="137">
        <f t="shared" si="193"/>
        <v>550199.99999541324</v>
      </c>
    </row>
    <row r="230" spans="1:17" ht="15" customHeight="1" x14ac:dyDescent="0.25">
      <c r="A230" s="26">
        <v>16</v>
      </c>
      <c r="B230" s="24">
        <v>45978</v>
      </c>
      <c r="C230" s="24" t="s">
        <v>27</v>
      </c>
      <c r="D230" s="25" t="s">
        <v>18</v>
      </c>
      <c r="E230" s="28">
        <v>0.25555555555555554</v>
      </c>
      <c r="F230" s="121">
        <v>45978.25</v>
      </c>
      <c r="G230" s="122">
        <v>45978.75</v>
      </c>
      <c r="H230" s="29">
        <v>1</v>
      </c>
      <c r="I230" s="30">
        <f t="shared" si="185"/>
        <v>11</v>
      </c>
      <c r="J230" s="31">
        <v>8</v>
      </c>
      <c r="K230" s="32">
        <f t="shared" si="192"/>
        <v>3</v>
      </c>
      <c r="L230" s="33">
        <f>((I230-J230)*2)-0.5</f>
        <v>5.5</v>
      </c>
      <c r="M230" s="34">
        <f t="shared" si="186"/>
        <v>19700</v>
      </c>
      <c r="N230" s="35">
        <f t="shared" si="194"/>
        <v>157600</v>
      </c>
      <c r="O230" s="35">
        <f t="shared" si="195"/>
        <v>108350</v>
      </c>
      <c r="P230" s="35">
        <f>O212</f>
        <v>38000</v>
      </c>
      <c r="Q230" s="35">
        <f t="shared" si="193"/>
        <v>303950</v>
      </c>
    </row>
    <row r="231" spans="1:17" ht="15" customHeight="1" x14ac:dyDescent="0.25">
      <c r="A231" s="26">
        <v>17</v>
      </c>
      <c r="B231" s="24">
        <v>45979</v>
      </c>
      <c r="C231" s="24" t="s">
        <v>22</v>
      </c>
      <c r="D231" s="25" t="s">
        <v>18</v>
      </c>
      <c r="E231" s="28">
        <v>0.33333333333333331</v>
      </c>
      <c r="F231" s="121">
        <v>45979.333333333336</v>
      </c>
      <c r="G231" s="122">
        <v>45979.708333333336</v>
      </c>
      <c r="H231" s="29">
        <v>1</v>
      </c>
      <c r="I231" s="30">
        <f t="shared" ref="I231" si="196">((G231-F231)*24)-H231</f>
        <v>8</v>
      </c>
      <c r="J231" s="31">
        <v>8</v>
      </c>
      <c r="K231" s="32">
        <f t="shared" ref="K231" si="197">I231-J231</f>
        <v>0</v>
      </c>
      <c r="L231" s="33">
        <f>((I231-J231)*2)</f>
        <v>0</v>
      </c>
      <c r="M231" s="34">
        <f t="shared" si="186"/>
        <v>19700</v>
      </c>
      <c r="N231" s="35">
        <f t="shared" ref="N231" si="198">J231*M231</f>
        <v>157600</v>
      </c>
      <c r="O231" s="35">
        <f>L231*M231</f>
        <v>0</v>
      </c>
      <c r="P231" s="35">
        <f>O212</f>
        <v>38000</v>
      </c>
      <c r="Q231" s="35">
        <f t="shared" ref="Q231" si="199">N231+O231+P231</f>
        <v>195600</v>
      </c>
    </row>
    <row r="232" spans="1:17" ht="15" customHeight="1" x14ac:dyDescent="0.25">
      <c r="A232" s="26">
        <v>18</v>
      </c>
      <c r="B232" s="24">
        <v>45980</v>
      </c>
      <c r="C232" s="24" t="s">
        <v>28</v>
      </c>
      <c r="D232" s="25" t="s">
        <v>18</v>
      </c>
      <c r="E232" s="28">
        <v>0.33333333333333331</v>
      </c>
      <c r="F232" s="121">
        <v>45980.333333333336</v>
      </c>
      <c r="G232" s="122">
        <v>45980.75</v>
      </c>
      <c r="H232" s="29">
        <v>1</v>
      </c>
      <c r="I232" s="30">
        <f t="shared" ref="I232" si="200">((G232-F232)*24)-H232</f>
        <v>8.9999999999417923</v>
      </c>
      <c r="J232" s="31">
        <v>8</v>
      </c>
      <c r="K232" s="32">
        <f t="shared" ref="K232" si="201">I232-J232</f>
        <v>0.99999999994179234</v>
      </c>
      <c r="L232" s="33">
        <f>((I232-J232)*2)</f>
        <v>1.9999999998835847</v>
      </c>
      <c r="M232" s="34">
        <f t="shared" si="186"/>
        <v>19700</v>
      </c>
      <c r="N232" s="35">
        <f t="shared" ref="N232" si="202">J232*M232</f>
        <v>157600</v>
      </c>
      <c r="O232" s="35">
        <f>L232*M232</f>
        <v>39399.999997706618</v>
      </c>
      <c r="P232" s="35">
        <f>O212</f>
        <v>38000</v>
      </c>
      <c r="Q232" s="35">
        <f t="shared" ref="Q232" si="203">N232+O232+P232</f>
        <v>234999.99999770662</v>
      </c>
    </row>
    <row r="233" spans="1:17" ht="15" customHeight="1" x14ac:dyDescent="0.25">
      <c r="A233" s="26">
        <v>19</v>
      </c>
      <c r="B233" s="24">
        <v>45981</v>
      </c>
      <c r="C233" s="24" t="s">
        <v>25</v>
      </c>
      <c r="D233" s="25" t="s">
        <v>18</v>
      </c>
      <c r="E233" s="28">
        <v>0.33124999999999999</v>
      </c>
      <c r="F233" s="121">
        <v>45981.333333333336</v>
      </c>
      <c r="G233" s="122">
        <v>45981.708333333336</v>
      </c>
      <c r="H233" s="29">
        <v>1</v>
      </c>
      <c r="I233" s="30">
        <f t="shared" ref="I233" si="204">((G233-F233)*24)-H233</f>
        <v>8</v>
      </c>
      <c r="J233" s="31">
        <v>8</v>
      </c>
      <c r="K233" s="32">
        <f t="shared" ref="K233" si="205">I233-J233</f>
        <v>0</v>
      </c>
      <c r="L233" s="33">
        <v>0</v>
      </c>
      <c r="M233" s="34">
        <f t="shared" si="186"/>
        <v>19700</v>
      </c>
      <c r="N233" s="35">
        <f t="shared" ref="N233" si="206">J233*M233</f>
        <v>157600</v>
      </c>
      <c r="O233" s="35">
        <f>L233*M233</f>
        <v>0</v>
      </c>
      <c r="P233" s="35">
        <f>O212</f>
        <v>38000</v>
      </c>
      <c r="Q233" s="35">
        <f t="shared" ref="Q233" si="207">N233+O233+P233</f>
        <v>195600</v>
      </c>
    </row>
    <row r="234" spans="1:17" ht="15" customHeight="1" x14ac:dyDescent="0.25">
      <c r="A234" s="26">
        <v>20</v>
      </c>
      <c r="B234" s="24">
        <v>45982</v>
      </c>
      <c r="C234" s="24" t="s">
        <v>26</v>
      </c>
      <c r="D234" s="25" t="s">
        <v>18</v>
      </c>
      <c r="E234" s="28">
        <v>0.33055555555555555</v>
      </c>
      <c r="F234" s="121">
        <v>45982.333333333336</v>
      </c>
      <c r="G234" s="122">
        <v>45982.75</v>
      </c>
      <c r="H234" s="29">
        <v>1</v>
      </c>
      <c r="I234" s="30">
        <f t="shared" ref="I234" si="208">((G234-F234)*24)-H234</f>
        <v>8.9999999999417923</v>
      </c>
      <c r="J234" s="31">
        <v>8</v>
      </c>
      <c r="K234" s="32">
        <f t="shared" ref="K234" si="209">I234-J234</f>
        <v>0.99999999994179234</v>
      </c>
      <c r="L234" s="33">
        <f>((I234-J234)*2)-0.5</f>
        <v>1.4999999998835847</v>
      </c>
      <c r="M234" s="34">
        <f t="shared" si="186"/>
        <v>19700</v>
      </c>
      <c r="N234" s="35">
        <f t="shared" ref="N234" si="210">J234*M234</f>
        <v>157600</v>
      </c>
      <c r="O234" s="35">
        <f>L234*M234</f>
        <v>29549.999997706618</v>
      </c>
      <c r="P234" s="35">
        <f>O212</f>
        <v>38000</v>
      </c>
      <c r="Q234" s="35">
        <f t="shared" ref="Q234" si="211">N234+O234+P234</f>
        <v>225149.99999770662</v>
      </c>
    </row>
    <row r="235" spans="1:17" ht="15" customHeight="1" x14ac:dyDescent="0.25">
      <c r="A235" s="26">
        <v>21</v>
      </c>
      <c r="B235" s="24">
        <v>45983</v>
      </c>
      <c r="C235" s="24" t="s">
        <v>57</v>
      </c>
      <c r="D235" s="25" t="s">
        <v>18</v>
      </c>
      <c r="E235" s="28">
        <v>0.41666666666666669</v>
      </c>
      <c r="F235" s="121">
        <v>45983.416666666664</v>
      </c>
      <c r="G235" s="122">
        <v>45983.625</v>
      </c>
      <c r="H235" s="29">
        <v>1</v>
      </c>
      <c r="I235" s="30">
        <f t="shared" ref="I235" si="212">((G235-F235)*24)-H235</f>
        <v>4.0000000000582077</v>
      </c>
      <c r="J235" s="31">
        <v>4</v>
      </c>
      <c r="K235" s="32">
        <f t="shared" ref="K235" si="213">I235-J235</f>
        <v>5.8207660913467407E-11</v>
      </c>
      <c r="L235" s="33">
        <v>0</v>
      </c>
      <c r="M235" s="34">
        <f t="shared" si="186"/>
        <v>19700</v>
      </c>
      <c r="N235" s="35">
        <f t="shared" ref="N235" si="214">J235*M235</f>
        <v>78800</v>
      </c>
      <c r="O235" s="35">
        <f>L235*M235</f>
        <v>0</v>
      </c>
      <c r="P235" s="35">
        <f>O212</f>
        <v>38000</v>
      </c>
      <c r="Q235" s="35">
        <f t="shared" ref="Q235" si="215">N235+O235+P235</f>
        <v>116800</v>
      </c>
    </row>
    <row r="236" spans="1:17" ht="15" customHeight="1" x14ac:dyDescent="0.25">
      <c r="A236" s="26">
        <v>22</v>
      </c>
      <c r="B236" s="24">
        <v>45985</v>
      </c>
      <c r="C236" s="24" t="s">
        <v>27</v>
      </c>
      <c r="D236" s="25" t="s">
        <v>18</v>
      </c>
      <c r="E236" s="28">
        <v>0.33333333333333331</v>
      </c>
      <c r="F236" s="121">
        <v>45985.333333333336</v>
      </c>
      <c r="G236" s="122">
        <v>45985.708333333336</v>
      </c>
      <c r="H236" s="29">
        <v>1</v>
      </c>
      <c r="I236" s="30">
        <f t="shared" si="185"/>
        <v>8</v>
      </c>
      <c r="J236" s="31">
        <v>8</v>
      </c>
      <c r="K236" s="32">
        <f t="shared" si="192"/>
        <v>0</v>
      </c>
      <c r="L236" s="33">
        <f>((I236-J236)*2)</f>
        <v>0</v>
      </c>
      <c r="M236" s="34">
        <f t="shared" si="186"/>
        <v>19700</v>
      </c>
      <c r="N236" s="35">
        <f t="shared" si="194"/>
        <v>157600</v>
      </c>
      <c r="O236" s="35">
        <f t="shared" si="195"/>
        <v>0</v>
      </c>
      <c r="P236" s="35">
        <f>O212</f>
        <v>38000</v>
      </c>
      <c r="Q236" s="35">
        <f t="shared" si="193"/>
        <v>195600</v>
      </c>
    </row>
    <row r="237" spans="1:17" ht="15" customHeight="1" x14ac:dyDescent="0.25">
      <c r="A237" s="26">
        <v>23</v>
      </c>
      <c r="B237" s="24">
        <v>45986</v>
      </c>
      <c r="C237" s="24" t="s">
        <v>22</v>
      </c>
      <c r="D237" s="25" t="s">
        <v>18</v>
      </c>
      <c r="E237" s="28">
        <v>0.32361111111111113</v>
      </c>
      <c r="F237" s="121">
        <v>45986.333333333336</v>
      </c>
      <c r="G237" s="122">
        <v>45986.708333333336</v>
      </c>
      <c r="H237" s="29">
        <v>1</v>
      </c>
      <c r="I237" s="30">
        <f t="shared" si="185"/>
        <v>8</v>
      </c>
      <c r="J237" s="31">
        <v>8</v>
      </c>
      <c r="K237" s="32">
        <f t="shared" si="192"/>
        <v>0</v>
      </c>
      <c r="L237" s="33">
        <v>0</v>
      </c>
      <c r="M237" s="34">
        <f t="shared" si="186"/>
        <v>19700</v>
      </c>
      <c r="N237" s="35">
        <f>J237*M237</f>
        <v>157600</v>
      </c>
      <c r="O237" s="35">
        <f t="shared" si="195"/>
        <v>0</v>
      </c>
      <c r="P237" s="35">
        <f>O212</f>
        <v>38000</v>
      </c>
      <c r="Q237" s="35">
        <f t="shared" si="193"/>
        <v>195600</v>
      </c>
    </row>
    <row r="238" spans="1:17" ht="15" customHeight="1" x14ac:dyDescent="0.25">
      <c r="A238" s="26">
        <v>24</v>
      </c>
      <c r="B238" s="24">
        <v>45987</v>
      </c>
      <c r="C238" s="24" t="s">
        <v>28</v>
      </c>
      <c r="D238" s="25" t="s">
        <v>18</v>
      </c>
      <c r="E238" s="28">
        <v>0.33124999999999999</v>
      </c>
      <c r="F238" s="121">
        <v>45987.333333333336</v>
      </c>
      <c r="G238" s="122">
        <v>45987.833333333336</v>
      </c>
      <c r="H238" s="29">
        <v>2</v>
      </c>
      <c r="I238" s="30">
        <f t="shared" si="185"/>
        <v>10</v>
      </c>
      <c r="J238" s="31">
        <v>8</v>
      </c>
      <c r="K238" s="32">
        <f t="shared" si="192"/>
        <v>2</v>
      </c>
      <c r="L238" s="33">
        <f t="shared" ref="L238:L239" si="216">((I238-J238)*2)-0.5</f>
        <v>3.5</v>
      </c>
      <c r="M238" s="34">
        <f t="shared" si="186"/>
        <v>19700</v>
      </c>
      <c r="N238" s="35">
        <f>J238*M238</f>
        <v>157600</v>
      </c>
      <c r="O238" s="35">
        <f t="shared" si="195"/>
        <v>68950</v>
      </c>
      <c r="P238" s="35">
        <f>O212</f>
        <v>38000</v>
      </c>
      <c r="Q238" s="35">
        <f t="shared" si="193"/>
        <v>264550</v>
      </c>
    </row>
    <row r="239" spans="1:17" ht="15" customHeight="1" x14ac:dyDescent="0.25">
      <c r="A239" s="26">
        <v>25</v>
      </c>
      <c r="B239" s="24">
        <v>45988</v>
      </c>
      <c r="C239" s="24" t="s">
        <v>25</v>
      </c>
      <c r="D239" s="25" t="s">
        <v>18</v>
      </c>
      <c r="E239" s="28">
        <v>0.33402777777777776</v>
      </c>
      <c r="F239" s="121">
        <v>45988.334027777775</v>
      </c>
      <c r="G239" s="122">
        <v>45988.791666666664</v>
      </c>
      <c r="H239" s="29">
        <v>1</v>
      </c>
      <c r="I239" s="30">
        <f t="shared" ref="I239" si="217">((G239-F239)*24)-H239</f>
        <v>9.9833333333372138</v>
      </c>
      <c r="J239" s="31">
        <v>8</v>
      </c>
      <c r="K239" s="32">
        <f t="shared" ref="K239" si="218">I239-J239</f>
        <v>1.9833333333372138</v>
      </c>
      <c r="L239" s="33">
        <f t="shared" si="216"/>
        <v>3.4666666666744277</v>
      </c>
      <c r="M239" s="34">
        <f t="shared" si="186"/>
        <v>19700</v>
      </c>
      <c r="N239" s="35">
        <f t="shared" ref="N239" si="219">J239*M239</f>
        <v>157600</v>
      </c>
      <c r="O239" s="35">
        <f t="shared" ref="O239" si="220">L239*M239</f>
        <v>68293.333333486225</v>
      </c>
      <c r="P239" s="35">
        <f>O212</f>
        <v>38000</v>
      </c>
      <c r="Q239" s="35">
        <f t="shared" ref="Q239" si="221">N239+O239+P239</f>
        <v>263893.33333348623</v>
      </c>
    </row>
    <row r="240" spans="1:17" ht="15" customHeight="1" x14ac:dyDescent="0.25">
      <c r="A240" s="189" t="s">
        <v>19</v>
      </c>
      <c r="B240" s="190"/>
      <c r="C240" s="191"/>
      <c r="D240" s="43"/>
      <c r="E240" s="43"/>
      <c r="F240" s="52"/>
      <c r="G240" s="53"/>
      <c r="H240" s="44"/>
      <c r="I240" s="45"/>
      <c r="J240" s="46"/>
      <c r="K240" s="47"/>
      <c r="L240" s="48"/>
      <c r="M240" s="49"/>
      <c r="N240" s="50">
        <f>SUM(N215:N239)</f>
        <v>3427800</v>
      </c>
      <c r="O240" s="50">
        <f>SUM(O215:O239)</f>
        <v>2683139.9999600952</v>
      </c>
      <c r="P240" s="50">
        <f>SUM(P215:P239)</f>
        <v>950000</v>
      </c>
      <c r="Q240" s="50">
        <f>SUM(Q215:Q239)</f>
        <v>7060939.9999600966</v>
      </c>
    </row>
    <row r="241" spans="1:17" ht="15" customHeight="1" x14ac:dyDescent="0.25">
      <c r="A241" s="79"/>
      <c r="B241" s="79"/>
      <c r="C241" s="79"/>
      <c r="D241" s="64"/>
      <c r="E241" s="64"/>
      <c r="F241" s="80"/>
      <c r="G241" s="81"/>
      <c r="H241" s="82"/>
      <c r="I241" s="192" t="s">
        <v>47</v>
      </c>
      <c r="J241" s="193"/>
      <c r="K241" s="194"/>
      <c r="L241" s="195">
        <f>15000000+8000000</f>
        <v>23000000</v>
      </c>
      <c r="M241" s="196"/>
      <c r="N241" s="197"/>
      <c r="O241" s="198"/>
      <c r="P241" s="199"/>
      <c r="Q241" s="50"/>
    </row>
    <row r="242" spans="1:17" ht="15" customHeight="1" x14ac:dyDescent="0.25">
      <c r="A242" s="79"/>
      <c r="B242" s="79"/>
      <c r="C242" s="79"/>
      <c r="D242" s="64"/>
      <c r="E242" s="64"/>
      <c r="F242" s="80"/>
      <c r="G242" s="81"/>
      <c r="H242" s="82"/>
      <c r="I242" s="179" t="s">
        <v>49</v>
      </c>
      <c r="J242" s="180"/>
      <c r="K242" s="181"/>
      <c r="L242" s="182">
        <f>L241*0.025</f>
        <v>575000</v>
      </c>
      <c r="M242" s="183"/>
      <c r="N242" s="184" t="s">
        <v>41</v>
      </c>
      <c r="O242" s="184"/>
      <c r="P242" s="185"/>
      <c r="Q242" s="69">
        <f>SUM(Q240:Q241)</f>
        <v>7060939.9999600966</v>
      </c>
    </row>
    <row r="243" spans="1:17" ht="15" customHeight="1" x14ac:dyDescent="0.25">
      <c r="A243" s="54"/>
      <c r="B243" s="55"/>
      <c r="C243" s="55"/>
      <c r="D243" s="56"/>
      <c r="E243" s="56"/>
      <c r="F243" s="57"/>
      <c r="G243" s="58"/>
      <c r="H243" s="59"/>
      <c r="I243" s="171" t="s">
        <v>50</v>
      </c>
      <c r="J243" s="172"/>
      <c r="K243" s="173"/>
      <c r="L243" s="174">
        <f>SUM(L241:L242)</f>
        <v>23575000</v>
      </c>
      <c r="M243" s="175"/>
      <c r="N243" s="186" t="s">
        <v>67</v>
      </c>
      <c r="O243" s="186"/>
      <c r="P243" s="187"/>
      <c r="Q243" s="60">
        <v>1000000</v>
      </c>
    </row>
    <row r="244" spans="1:17" ht="15" customHeight="1" x14ac:dyDescent="0.25">
      <c r="A244" s="54"/>
      <c r="B244" s="55"/>
      <c r="C244" s="55"/>
      <c r="D244" s="56"/>
      <c r="E244" s="56"/>
      <c r="F244" s="57"/>
      <c r="G244" s="58"/>
      <c r="H244" s="59"/>
      <c r="I244" s="165" t="s">
        <v>66</v>
      </c>
      <c r="J244" s="166"/>
      <c r="K244" s="167"/>
      <c r="L244" s="168">
        <f>(1000000*10)+500000</f>
        <v>10500000</v>
      </c>
      <c r="M244" s="169"/>
      <c r="N244" s="170" t="s">
        <v>38</v>
      </c>
      <c r="O244" s="170"/>
      <c r="P244" s="170"/>
      <c r="Q244" s="23">
        <v>60000</v>
      </c>
    </row>
    <row r="245" spans="1:17" ht="15" customHeight="1" x14ac:dyDescent="0.25">
      <c r="I245" s="171" t="s">
        <v>48</v>
      </c>
      <c r="J245" s="172"/>
      <c r="K245" s="173"/>
      <c r="L245" s="174">
        <f>L243-L244</f>
        <v>13075000</v>
      </c>
      <c r="M245" s="175"/>
      <c r="N245" s="176" t="s">
        <v>35</v>
      </c>
      <c r="O245" s="177"/>
      <c r="P245" s="178"/>
      <c r="Q245" s="108">
        <f>Q242-Q243-Q244</f>
        <v>6000939.9999600966</v>
      </c>
    </row>
  </sheetData>
  <mergeCells count="203">
    <mergeCell ref="Q3:Q4"/>
    <mergeCell ref="A28:C28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  <mergeCell ref="N29:P29"/>
    <mergeCell ref="I30:K30"/>
    <mergeCell ref="L30:M30"/>
    <mergeCell ref="N30:P30"/>
    <mergeCell ref="I31:K31"/>
    <mergeCell ref="L31:M31"/>
    <mergeCell ref="N31:P31"/>
    <mergeCell ref="M3:M4"/>
    <mergeCell ref="N3:N4"/>
    <mergeCell ref="O3:O4"/>
    <mergeCell ref="P3:P4"/>
    <mergeCell ref="I34:K34"/>
    <mergeCell ref="L34:M34"/>
    <mergeCell ref="N34:P34"/>
    <mergeCell ref="N35:P35"/>
    <mergeCell ref="N36:P36"/>
    <mergeCell ref="N37:P37"/>
    <mergeCell ref="I32:K32"/>
    <mergeCell ref="L32:M32"/>
    <mergeCell ref="N32:P32"/>
    <mergeCell ref="I33:K33"/>
    <mergeCell ref="L33:M33"/>
    <mergeCell ref="N33:P33"/>
    <mergeCell ref="Q41:Q42"/>
    <mergeCell ref="A66:C66"/>
    <mergeCell ref="G41:G42"/>
    <mergeCell ref="H41:H42"/>
    <mergeCell ref="I41:I42"/>
    <mergeCell ref="J41:J42"/>
    <mergeCell ref="K41:K42"/>
    <mergeCell ref="L41:L42"/>
    <mergeCell ref="A41:A42"/>
    <mergeCell ref="B41:B42"/>
    <mergeCell ref="C41:C42"/>
    <mergeCell ref="D41:D42"/>
    <mergeCell ref="E41:E42"/>
    <mergeCell ref="F41:F42"/>
    <mergeCell ref="I67:K67"/>
    <mergeCell ref="L67:M67"/>
    <mergeCell ref="N67:P67"/>
    <mergeCell ref="I68:K68"/>
    <mergeCell ref="L68:M68"/>
    <mergeCell ref="N68:P68"/>
    <mergeCell ref="M41:M42"/>
    <mergeCell ref="N41:N42"/>
    <mergeCell ref="O41:O42"/>
    <mergeCell ref="P41:P42"/>
    <mergeCell ref="I71:K71"/>
    <mergeCell ref="L71:M71"/>
    <mergeCell ref="N71:P71"/>
    <mergeCell ref="I72:K72"/>
    <mergeCell ref="L72:M72"/>
    <mergeCell ref="N72:P72"/>
    <mergeCell ref="I69:K69"/>
    <mergeCell ref="L69:M69"/>
    <mergeCell ref="N69:P69"/>
    <mergeCell ref="I70:K70"/>
    <mergeCell ref="L70:M70"/>
    <mergeCell ref="N70:P70"/>
    <mergeCell ref="I73:K73"/>
    <mergeCell ref="L73:M73"/>
    <mergeCell ref="N73:P73"/>
    <mergeCell ref="A84:A85"/>
    <mergeCell ref="B84:B85"/>
    <mergeCell ref="C84:C85"/>
    <mergeCell ref="D84:D85"/>
    <mergeCell ref="E84:E85"/>
    <mergeCell ref="F84:F85"/>
    <mergeCell ref="G84:G85"/>
    <mergeCell ref="N84:N85"/>
    <mergeCell ref="O84:O85"/>
    <mergeCell ref="P84:P85"/>
    <mergeCell ref="Q84:Q85"/>
    <mergeCell ref="A109:C109"/>
    <mergeCell ref="N110:P110"/>
    <mergeCell ref="H84:H85"/>
    <mergeCell ref="I84:I85"/>
    <mergeCell ref="J84:J85"/>
    <mergeCell ref="K84:K85"/>
    <mergeCell ref="L84:L85"/>
    <mergeCell ref="M84:M85"/>
    <mergeCell ref="I113:K113"/>
    <mergeCell ref="L113:M113"/>
    <mergeCell ref="N113:P113"/>
    <mergeCell ref="I114:K114"/>
    <mergeCell ref="L114:M114"/>
    <mergeCell ref="N114:P114"/>
    <mergeCell ref="I111:K111"/>
    <mergeCell ref="L111:M111"/>
    <mergeCell ref="N111:P111"/>
    <mergeCell ref="I112:K112"/>
    <mergeCell ref="L112:M112"/>
    <mergeCell ref="N112:P112"/>
    <mergeCell ref="I115:K115"/>
    <mergeCell ref="L115:M115"/>
    <mergeCell ref="N115:P115"/>
    <mergeCell ref="N116:P116"/>
    <mergeCell ref="N117:P117"/>
    <mergeCell ref="A127:A128"/>
    <mergeCell ref="B127:B128"/>
    <mergeCell ref="C127:C128"/>
    <mergeCell ref="D127:D128"/>
    <mergeCell ref="E127:E128"/>
    <mergeCell ref="L127:L128"/>
    <mergeCell ref="M127:M128"/>
    <mergeCell ref="N127:N128"/>
    <mergeCell ref="O127:O128"/>
    <mergeCell ref="P127:P128"/>
    <mergeCell ref="Q127:Q128"/>
    <mergeCell ref="F127:F128"/>
    <mergeCell ref="G127:G128"/>
    <mergeCell ref="H127:H128"/>
    <mergeCell ref="I127:I128"/>
    <mergeCell ref="J127:J128"/>
    <mergeCell ref="K127:K128"/>
    <mergeCell ref="I153:K153"/>
    <mergeCell ref="L153:M153"/>
    <mergeCell ref="N153:P153"/>
    <mergeCell ref="N154:P154"/>
    <mergeCell ref="N155:P155"/>
    <mergeCell ref="N156:P156"/>
    <mergeCell ref="A149:C149"/>
    <mergeCell ref="N150:P150"/>
    <mergeCell ref="I151:K151"/>
    <mergeCell ref="L151:M151"/>
    <mergeCell ref="N151:P151"/>
    <mergeCell ref="I152:K152"/>
    <mergeCell ref="L152:M152"/>
    <mergeCell ref="N152:P152"/>
    <mergeCell ref="I154:K154"/>
    <mergeCell ref="I155:K155"/>
    <mergeCell ref="L154:M154"/>
    <mergeCell ref="L155:M155"/>
    <mergeCell ref="N157:P157"/>
    <mergeCell ref="A170:A171"/>
    <mergeCell ref="B170:B171"/>
    <mergeCell ref="C170:C171"/>
    <mergeCell ref="D170:D171"/>
    <mergeCell ref="E170:E171"/>
    <mergeCell ref="F170:F171"/>
    <mergeCell ref="G170:G171"/>
    <mergeCell ref="H170:H171"/>
    <mergeCell ref="I170:I171"/>
    <mergeCell ref="P170:P171"/>
    <mergeCell ref="Q170:Q171"/>
    <mergeCell ref="A195:C195"/>
    <mergeCell ref="N196:P196"/>
    <mergeCell ref="N197:P197"/>
    <mergeCell ref="N198:P198"/>
    <mergeCell ref="J170:J171"/>
    <mergeCell ref="K170:K171"/>
    <mergeCell ref="L170:L171"/>
    <mergeCell ref="M170:M171"/>
    <mergeCell ref="N170:N171"/>
    <mergeCell ref="O170:O171"/>
    <mergeCell ref="N199:P199"/>
    <mergeCell ref="A213:A214"/>
    <mergeCell ref="B213:B214"/>
    <mergeCell ref="C213:C214"/>
    <mergeCell ref="D213:D214"/>
    <mergeCell ref="E213:E214"/>
    <mergeCell ref="F213:F214"/>
    <mergeCell ref="G213:G214"/>
    <mergeCell ref="H213:H214"/>
    <mergeCell ref="I213:I214"/>
    <mergeCell ref="P213:P214"/>
    <mergeCell ref="Q213:Q214"/>
    <mergeCell ref="A240:C240"/>
    <mergeCell ref="I241:K241"/>
    <mergeCell ref="L241:M241"/>
    <mergeCell ref="N241:P241"/>
    <mergeCell ref="J213:J214"/>
    <mergeCell ref="K213:K214"/>
    <mergeCell ref="L213:L214"/>
    <mergeCell ref="M213:M214"/>
    <mergeCell ref="N213:N214"/>
    <mergeCell ref="O213:O214"/>
    <mergeCell ref="I244:K244"/>
    <mergeCell ref="L244:M244"/>
    <mergeCell ref="N244:P244"/>
    <mergeCell ref="I245:K245"/>
    <mergeCell ref="L245:M245"/>
    <mergeCell ref="N245:P245"/>
    <mergeCell ref="I242:K242"/>
    <mergeCell ref="L242:M242"/>
    <mergeCell ref="N242:P242"/>
    <mergeCell ref="I243:K243"/>
    <mergeCell ref="L243:M243"/>
    <mergeCell ref="N243:P243"/>
  </mergeCells>
  <pageMargins left="0.98425196850393704" right="0.59055118110236227" top="0.19685039370078741" bottom="0.19685039370078741" header="0.19685039370078741" footer="0.19685039370078741"/>
  <pageSetup paperSize="9" scale="90" orientation="landscape" horizontalDpi="4294967292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BREAK (2)</vt:lpstr>
      <vt:lpstr>BREAK</vt:lpstr>
    </vt:vector>
  </TitlesOfParts>
  <Company>HRD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ENING</dc:creator>
  <cp:lastModifiedBy>gema</cp:lastModifiedBy>
  <cp:lastPrinted>2025-12-01T07:31:03Z</cp:lastPrinted>
  <dcterms:created xsi:type="dcterms:W3CDTF">2013-11-21T07:02:04Z</dcterms:created>
  <dcterms:modified xsi:type="dcterms:W3CDTF">2025-12-01T08:15:06Z</dcterms:modified>
</cp:coreProperties>
</file>