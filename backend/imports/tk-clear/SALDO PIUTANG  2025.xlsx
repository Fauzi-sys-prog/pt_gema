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ATA ENING\Local Disk\Back Up\19. DATA PT. GMT PERKASA 2025\ACCOUNT\"/>
    </mc:Choice>
  </mc:AlternateContent>
  <xr:revisionPtr revIDLastSave="0" documentId="13_ncr:1_{1F215881-64AE-4239-BD86-9918411C4B1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4" sheetId="2" r:id="rId1"/>
    <sheet name="NOV" sheetId="8" r:id="rId2"/>
    <sheet name="sep" sheetId="7" r:id="rId3"/>
    <sheet name="AGS" sheetId="6" r:id="rId4"/>
    <sheet name="JUL" sheetId="5" r:id="rId5"/>
    <sheet name="JUN" sheetId="4" r:id="rId6"/>
    <sheet name="2025" sheetId="3" r:id="rId7"/>
    <sheet name="Sheet1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8" l="1"/>
  <c r="E16" i="8"/>
  <c r="E12" i="8" l="1"/>
  <c r="E8" i="8"/>
  <c r="E5" i="8" l="1"/>
  <c r="E56" i="8" s="1"/>
  <c r="E25" i="7"/>
  <c r="E16" i="7"/>
  <c r="E45" i="7" s="1"/>
  <c r="E8" i="7"/>
  <c r="E5" i="7"/>
  <c r="E16" i="6" l="1"/>
  <c r="E8" i="6"/>
  <c r="D5" i="6"/>
  <c r="E5" i="6" s="1"/>
  <c r="E39" i="6" s="1"/>
  <c r="E20" i="5"/>
  <c r="D5" i="5"/>
  <c r="E5" i="5" s="1"/>
  <c r="E12" i="5"/>
  <c r="E8" i="5"/>
  <c r="E61" i="4"/>
  <c r="E32" i="4"/>
  <c r="E12" i="4"/>
  <c r="E20" i="4"/>
  <c r="E8" i="4"/>
  <c r="E5" i="4"/>
  <c r="E31" i="3"/>
  <c r="E43" i="5" l="1"/>
  <c r="E19" i="3"/>
  <c r="E12" i="3"/>
  <c r="E8" i="3"/>
  <c r="E5" i="3"/>
  <c r="E45" i="3" l="1"/>
  <c r="E5" i="2" l="1"/>
  <c r="E53" i="1"/>
  <c r="E64" i="1"/>
  <c r="E49" i="1"/>
  <c r="E47" i="1"/>
  <c r="E45" i="1"/>
  <c r="E43" i="1"/>
  <c r="E25" i="1"/>
  <c r="E40" i="1"/>
  <c r="E37" i="1"/>
  <c r="E32" i="1"/>
  <c r="E16" i="1"/>
  <c r="E10" i="2" l="1"/>
  <c r="E10" i="1"/>
  <c r="E5" i="1"/>
  <c r="E30" i="1" l="1"/>
  <c r="E27" i="1"/>
  <c r="E14" i="1"/>
  <c r="E23" i="1" l="1"/>
  <c r="E67" i="1" s="1"/>
</calcChain>
</file>

<file path=xl/sharedStrings.xml><?xml version="1.0" encoding="utf-8"?>
<sst xmlns="http://schemas.openxmlformats.org/spreadsheetml/2006/main" count="504" uniqueCount="193">
  <si>
    <t>PT. Shinagawa Refractories Indonesia</t>
  </si>
  <si>
    <t>PT. Indoporlen</t>
  </si>
  <si>
    <t>PT. Pantarhei Cahaya Indonesia</t>
  </si>
  <si>
    <t>PT. Sriwijaya Alam Segar</t>
  </si>
  <si>
    <t>SALDO PIUTANG 2025 PT. GEMA TEKNIK PERKASA</t>
  </si>
  <si>
    <t>105/TAG/GMT/IV/2024</t>
  </si>
  <si>
    <t>PT. Cemindo Gemilang</t>
  </si>
  <si>
    <t>114/TAG/GMT/IV/2024</t>
  </si>
  <si>
    <t>144/TAG/GMT/V/2024</t>
  </si>
  <si>
    <t>230/TAG/GMT/VIII/2024</t>
  </si>
  <si>
    <t>250/TAG/GMT/IX/2024</t>
  </si>
  <si>
    <t>PT. Kaltim Prima Coal</t>
  </si>
  <si>
    <t>272/TAGGMT/X/2024</t>
  </si>
  <si>
    <t>273/TAG/GMT/X/2024</t>
  </si>
  <si>
    <t>291/TAG/GMT/XI/2024</t>
  </si>
  <si>
    <t>283/TAG/GMT/XI/2024</t>
  </si>
  <si>
    <t>514/TAG/GMT/XII/2024</t>
  </si>
  <si>
    <t>343/TAG/GMT/XII/2024</t>
  </si>
  <si>
    <t>331/TAG/GMT/XII/2024</t>
  </si>
  <si>
    <t>332/TAG/GMT/XII/2024</t>
  </si>
  <si>
    <t>298/TAG/GMT/XI/2024</t>
  </si>
  <si>
    <t>PT. Prakarsa Alam Segar</t>
  </si>
  <si>
    <t>295/TAG/GMT/XI/2024</t>
  </si>
  <si>
    <t>PT. Nusantara Tehnik Indonesia</t>
  </si>
  <si>
    <t>302/TAG/GMT/XI/2024</t>
  </si>
  <si>
    <t>301/TAG/GMT/XI/2024</t>
  </si>
  <si>
    <t>311/TAG/GMT/XII/2024</t>
  </si>
  <si>
    <t>PT. Refratech Mandala Perkasa</t>
  </si>
  <si>
    <t>312/TAG/GMT/XII/2024</t>
  </si>
  <si>
    <t>316/TAG/GMT/XII/2024</t>
  </si>
  <si>
    <t>315/TAG/GMT/XII/2024</t>
  </si>
  <si>
    <t>323/TAG/GMT/XII/2024</t>
  </si>
  <si>
    <t>PT. Shinagawa Refratech Perkasa</t>
  </si>
  <si>
    <t>328/TAG/GMT/XII/2024</t>
  </si>
  <si>
    <t>TOTAL AR 2024</t>
  </si>
  <si>
    <t>309/TAG/GMT/XII/2024</t>
  </si>
  <si>
    <t>310/TAG/GMT/XII/2024</t>
  </si>
  <si>
    <t>PT. Indo Bharat Rayon</t>
  </si>
  <si>
    <t>313/TAG/GMT/XII/2024</t>
  </si>
  <si>
    <t>PT. Eagle Industry Indonesia</t>
  </si>
  <si>
    <t>TANGGAL</t>
  </si>
  <si>
    <t>NO. INVOICE</t>
  </si>
  <si>
    <t>NAMA CUSTOMER</t>
  </si>
  <si>
    <t>NILAI AR</t>
  </si>
  <si>
    <t>JUMLAH</t>
  </si>
  <si>
    <t>319/TAG/GMT/XII/2024</t>
  </si>
  <si>
    <t>320/TAG/GMT/XII/2024</t>
  </si>
  <si>
    <t>PT. Karya Andesta</t>
  </si>
  <si>
    <t>321/TAG/GMT/XII/2024</t>
  </si>
  <si>
    <t>PT. Ihi Power Service Indonesia</t>
  </si>
  <si>
    <t>324/TAG/GMT/XII/2024</t>
  </si>
  <si>
    <t>PT. Indoboiler</t>
  </si>
  <si>
    <t>325/TAG/GMT/XII/2024</t>
  </si>
  <si>
    <t>327/TAG/GMT/XII/2024</t>
  </si>
  <si>
    <t>304/TAGGMT/XII/2024</t>
  </si>
  <si>
    <t>PT. Daiki Aluminium Industry Indonesia</t>
  </si>
  <si>
    <t>334/TAG/GMT/XII/2024</t>
  </si>
  <si>
    <t>335/TAG/GMT/XII/2024</t>
  </si>
  <si>
    <t>336/TAG/GMT/XII/2024</t>
  </si>
  <si>
    <t>337/TAG/GMT/XII/2024</t>
  </si>
  <si>
    <t>338/TAG/GMT/XII/2024</t>
  </si>
  <si>
    <t>339/TAG/GMT/XII/2024</t>
  </si>
  <si>
    <t>340/TAG/GMT/XII/2024</t>
  </si>
  <si>
    <t>344/TAG/GMT/XII/2024</t>
  </si>
  <si>
    <t>329/TAG/GMT/XII/2024</t>
  </si>
  <si>
    <t>330/TAG/GMT/XII/2024</t>
  </si>
  <si>
    <t>PT. Sri Brika Prima</t>
  </si>
  <si>
    <t>104/TAG/GMT/IV/2024</t>
  </si>
  <si>
    <t>SALDO PIUTANG 2024 PT. GEMA TEKNIK PERKASA</t>
  </si>
  <si>
    <t>17/TAG/GMT/I/2025</t>
  </si>
  <si>
    <t>PT. Kopsri</t>
  </si>
  <si>
    <t>44/TAG/GMT/II/2025</t>
  </si>
  <si>
    <t>45/TAG/GMT/II/2025</t>
  </si>
  <si>
    <t>100/TAG/GMT/II/2025</t>
  </si>
  <si>
    <t>97/TAGGMT/IV/2025</t>
  </si>
  <si>
    <t>99/TAG/GMT/IV/2025</t>
  </si>
  <si>
    <t>105/TAG/GMT/II/2025</t>
  </si>
  <si>
    <t>106/TAG/GMT/II/2025</t>
  </si>
  <si>
    <t>116/TAG/GMT/V/2025</t>
  </si>
  <si>
    <t>118/TAG/GMT/V/2025</t>
  </si>
  <si>
    <t>PT. Halco Tehnik</t>
  </si>
  <si>
    <t>119/TAG/GMT/V/2025</t>
  </si>
  <si>
    <t>120/TAG/GMT/V/2025</t>
  </si>
  <si>
    <t>121/TAG/GMT/V/2025</t>
  </si>
  <si>
    <t>122/TAG/GMT/V/2025</t>
  </si>
  <si>
    <t>123/TAG/GMT/V/2025</t>
  </si>
  <si>
    <t>124/TAG/GMT/V/2025</t>
  </si>
  <si>
    <t>125/TAG/GMT/V/2025</t>
  </si>
  <si>
    <t>127/TAG/GMT/V/2025</t>
  </si>
  <si>
    <t>128/TAG/GMT/V/2025</t>
  </si>
  <si>
    <t>130/TAG/GMT/VI/2025</t>
  </si>
  <si>
    <t>131/TAG/GMT/VI/2025</t>
  </si>
  <si>
    <t>132/TAG/GMT/VI/2025</t>
  </si>
  <si>
    <t>133/TAG/GMT/VI/2025</t>
  </si>
  <si>
    <t>PT. Refractorindo Graha Dinamika</t>
  </si>
  <si>
    <t>134/TAG/GMT/VI/2025</t>
  </si>
  <si>
    <t>135/TAG/GMT/VI/2025</t>
  </si>
  <si>
    <t>136/TAG/GMT/VI/2025</t>
  </si>
  <si>
    <t>137/TAG/GMT/VI/2025</t>
  </si>
  <si>
    <t>139/TAG/GMT/VI/2025</t>
  </si>
  <si>
    <t>138/TAG/GMT/VI/2025</t>
  </si>
  <si>
    <t>140/TAG/GMT/VI/2025</t>
  </si>
  <si>
    <t>NILAI AP</t>
  </si>
  <si>
    <t>TOTAL AP 2025</t>
  </si>
  <si>
    <t>146/TAG/GMT/VII/2025</t>
  </si>
  <si>
    <t>147/TAG/GMT/VII/2025</t>
  </si>
  <si>
    <t>148/TAG/GMT/VII/2025</t>
  </si>
  <si>
    <t>CV. Nioto Karunia Mulya</t>
  </si>
  <si>
    <t>149/TAG/GMT/VII/2025</t>
  </si>
  <si>
    <t>152/TAG/GMT/VII/2025</t>
  </si>
  <si>
    <t>155/TAG/GMT/VII/2025</t>
  </si>
  <si>
    <t>SALDO PIUTANG PT. GEMA TEKNIK PERKASA JAN - JUL 2025</t>
  </si>
  <si>
    <t>PT. Vardhana Inti Pratama</t>
  </si>
  <si>
    <t>158/TAG/GMT/VII/2025</t>
  </si>
  <si>
    <t>169/TAG/GMT/VII/2025</t>
  </si>
  <si>
    <t>PT. Commonwealth Steel Indonesia</t>
  </si>
  <si>
    <t>168/TAG/GMT/VIII/2025</t>
  </si>
  <si>
    <t>172/TAG/GMT/VIII/2025</t>
  </si>
  <si>
    <t>173/TAG/GMT/VIII/2025</t>
  </si>
  <si>
    <t>174/TAG/GMT/VIII/2025</t>
  </si>
  <si>
    <t>175/TAG/GMT/VIII/2025</t>
  </si>
  <si>
    <t>176/TAG/GMT/VIII/2025</t>
  </si>
  <si>
    <t>177/TAG/GMT/VIII/2025</t>
  </si>
  <si>
    <t>179/TAG/GMT/VIII/2025</t>
  </si>
  <si>
    <t>180/TAG/GMT/VIII/2025</t>
  </si>
  <si>
    <t>181/TAG/GMT/VIII/2025</t>
  </si>
  <si>
    <t>183/TAG/GMT/VIII/2025</t>
  </si>
  <si>
    <t>185/TAG/GMT/VIII/2025</t>
  </si>
  <si>
    <t>186/TAG/GMT/VIII/2025</t>
  </si>
  <si>
    <t>187/TAG/GMT/VIII/2025</t>
  </si>
  <si>
    <t>188/TAG/GMT/VI/2025</t>
  </si>
  <si>
    <t>189/TAG/GMT/VIII/2025</t>
  </si>
  <si>
    <t>190/TAG/GMT/VIII/2025</t>
  </si>
  <si>
    <t>SALDO PIUTANG PT. GEMA TEKNIK PERKASA JAN - AGUSTUS 2025</t>
  </si>
  <si>
    <t>191/TAG/GMT/IX/2025</t>
  </si>
  <si>
    <t>196/TAG/GMT/IX/2025</t>
  </si>
  <si>
    <t>PT. Gemilang Mitra Abadi Sejahtera</t>
  </si>
  <si>
    <t>200/TAG/GMT/IX/2025</t>
  </si>
  <si>
    <t>202/TAG/GMT/IX/2025</t>
  </si>
  <si>
    <t>203/TAG/GMT/IX/2025</t>
  </si>
  <si>
    <t>204/TAG/GMT/IX/2025</t>
  </si>
  <si>
    <t>205/TAG/GMT/IX/2025</t>
  </si>
  <si>
    <t>206/TAG/GMT/IX/2025</t>
  </si>
  <si>
    <t>207/TAG/GMT/IX/2025</t>
  </si>
  <si>
    <t>208/TAG/GMT/IX/2025</t>
  </si>
  <si>
    <t>210/TAG/GMT/IX/2025</t>
  </si>
  <si>
    <t>211/TAG/GMT/IX/2025</t>
  </si>
  <si>
    <t>212/TAG/GMT/IX/2025</t>
  </si>
  <si>
    <t>SALDO PIUTANG PT. GEMA TEKNIK PERKASA JAN - SEP 2025</t>
  </si>
  <si>
    <t>TOTAL AP SEPTEMBER 2025</t>
  </si>
  <si>
    <t>PT. Tiga Pilar Sejahtera</t>
  </si>
  <si>
    <t>PT. Shinagawa Refractech Perkasa</t>
  </si>
  <si>
    <t>PT. Allied Makmur Servis</t>
  </si>
  <si>
    <t>PT. Sinergi Bangun Utama</t>
  </si>
  <si>
    <t>PT. Timas Supplindo</t>
  </si>
  <si>
    <t>236/TAG/GMT/XI/2025</t>
  </si>
  <si>
    <t>PT. Restu Ibu Engineering</t>
  </si>
  <si>
    <t>213/TAG/GMT/X/2025</t>
  </si>
  <si>
    <t>221/TAG/GMT/X/2025</t>
  </si>
  <si>
    <t>223/TAG/GMT/X/2025</t>
  </si>
  <si>
    <t>224/TAG/GMT/X/2025</t>
  </si>
  <si>
    <t>226/TAG/GMT/X/2025</t>
  </si>
  <si>
    <t>227/TAG/GMT/X/2025</t>
  </si>
  <si>
    <t>228/TAG/GMT/X/2025</t>
  </si>
  <si>
    <t>229/TAG/GMT/X/2025</t>
  </si>
  <si>
    <t>230/TAG/GMT/X/2025</t>
  </si>
  <si>
    <t>231/TAG/GMT/X/2025</t>
  </si>
  <si>
    <t>232/TAG/GMT/X/2025</t>
  </si>
  <si>
    <t>233/TAG/GMT/X/2025</t>
  </si>
  <si>
    <t>237/TAG/GMT/XI/2025</t>
  </si>
  <si>
    <t>238/TAG/GMT/XI/2025</t>
  </si>
  <si>
    <t>239/TAG/GMT/XI/2025</t>
  </si>
  <si>
    <t>241/TAG/GMT/XI/2025</t>
  </si>
  <si>
    <t>242/TAG/GMT/XI/2025</t>
  </si>
  <si>
    <t>243/TAG/GMT/XI/2025</t>
  </si>
  <si>
    <t>244/TAG/GMT/XI/2025</t>
  </si>
  <si>
    <t>PT. Farrel Internusa Pratama</t>
  </si>
  <si>
    <t>245/TAG/GMT/XI/2025</t>
  </si>
  <si>
    <t>246/TAG/GMT/XI/2025</t>
  </si>
  <si>
    <t>247/TAG/GMT/XI/2025</t>
  </si>
  <si>
    <t>248/TAG/GMT/XI/2025</t>
  </si>
  <si>
    <t>249/TAG/GMT/XI/2025</t>
  </si>
  <si>
    <t>250/TAG/GMT/XI/2025</t>
  </si>
  <si>
    <t>251/TAG/GMT/XI/2025</t>
  </si>
  <si>
    <t>PT. Cabot Indonesia</t>
  </si>
  <si>
    <t>252/TAG/GMT/XI/2025</t>
  </si>
  <si>
    <t>253/TAG/GMT/XI/2025</t>
  </si>
  <si>
    <t>254/TAG/GMT/XI/2025</t>
  </si>
  <si>
    <t>255/TAG/GMT/XI/2025</t>
  </si>
  <si>
    <t>256/TAG/GMT/XI/2025</t>
  </si>
  <si>
    <t>257/TAG/GMT/XI/2025</t>
  </si>
  <si>
    <t>TOTAL AP OKTOBER &amp; NOVEMBER 2025</t>
  </si>
  <si>
    <t>SALDO PIUTANG PT. GEMA TEKNIK PERKASA JAN -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</si>
</sst>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42" fontId="2" fillId="3" borderId="1" xfId="0" applyNumberFormat="1" applyFont="1" applyFill="1" applyBorder="1"/>
    <xf numFmtId="0" fontId="4" fillId="0" borderId="1" xfId="0" applyFont="1" applyBorder="1" applyAlignment="1">
      <alignment horizontal="center" vertical="center"/>
    </xf>
    <xf numFmtId="165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42" fontId="0" fillId="0" borderId="1" xfId="1" applyNumberFormat="1" applyFont="1" applyBorder="1"/>
    <xf numFmtId="165" fontId="0" fillId="0" borderId="2" xfId="0" applyNumberFormat="1" applyFont="1" applyBorder="1" applyAlignment="1">
      <alignment vertical="center"/>
    </xf>
    <xf numFmtId="0" fontId="0" fillId="0" borderId="2" xfId="0" applyFont="1" applyBorder="1" applyAlignment="1">
      <alignment vertical="center"/>
    </xf>
    <xf numFmtId="42" fontId="0" fillId="0" borderId="2" xfId="1" applyNumberFormat="1" applyFont="1" applyBorder="1"/>
    <xf numFmtId="165" fontId="0" fillId="2" borderId="1" xfId="0" applyNumberFormat="1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2" fontId="0" fillId="2" borderId="1" xfId="1" applyNumberFormat="1" applyFont="1" applyFill="1" applyBorder="1"/>
    <xf numFmtId="42" fontId="0" fillId="2" borderId="1" xfId="0" applyNumberFormat="1" applyFont="1" applyFill="1" applyBorder="1" applyAlignment="1">
      <alignment vertical="center"/>
    </xf>
    <xf numFmtId="165" fontId="0" fillId="2" borderId="4" xfId="0" applyNumberFormat="1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42" fontId="0" fillId="0" borderId="1" xfId="1" applyNumberFormat="1" applyFont="1" applyFill="1" applyBorder="1"/>
    <xf numFmtId="42" fontId="0" fillId="0" borderId="4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42" fontId="0" fillId="2" borderId="1" xfId="0" applyNumberFormat="1" applyFont="1" applyFill="1" applyBorder="1"/>
    <xf numFmtId="15" fontId="0" fillId="0" borderId="1" xfId="0" applyNumberFormat="1" applyFont="1" applyBorder="1" applyAlignment="1">
      <alignment horizontal="center"/>
    </xf>
    <xf numFmtId="0" fontId="0" fillId="0" borderId="1" xfId="0" applyFont="1" applyBorder="1"/>
    <xf numFmtId="42" fontId="0" fillId="0" borderId="1" xfId="2" applyNumberFormat="1" applyFont="1" applyFill="1" applyBorder="1"/>
    <xf numFmtId="15" fontId="0" fillId="2" borderId="1" xfId="0" applyNumberFormat="1" applyFont="1" applyFill="1" applyBorder="1" applyAlignment="1">
      <alignment horizontal="center"/>
    </xf>
    <xf numFmtId="42" fontId="0" fillId="2" borderId="1" xfId="2" applyNumberFormat="1" applyFont="1" applyFill="1" applyBorder="1"/>
    <xf numFmtId="42" fontId="0" fillId="0" borderId="4" xfId="1" applyNumberFormat="1" applyFont="1" applyBorder="1" applyAlignment="1">
      <alignment vertic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64" fontId="0" fillId="0" borderId="0" xfId="1" applyFont="1"/>
    <xf numFmtId="43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0" fontId="0" fillId="0" borderId="5" xfId="0" applyFont="1" applyBorder="1" applyAlignment="1">
      <alignment horizontal="center"/>
    </xf>
    <xf numFmtId="0" fontId="0" fillId="0" borderId="7" xfId="0" applyFont="1" applyBorder="1"/>
    <xf numFmtId="0" fontId="0" fillId="0" borderId="5" xfId="0" applyFont="1" applyBorder="1"/>
    <xf numFmtId="42" fontId="0" fillId="0" borderId="1" xfId="0" applyNumberFormat="1" applyFont="1" applyBorder="1"/>
    <xf numFmtId="42" fontId="0" fillId="0" borderId="7" xfId="0" applyNumberFormat="1" applyFont="1" applyBorder="1"/>
    <xf numFmtId="0" fontId="0" fillId="2" borderId="5" xfId="0" applyFont="1" applyFill="1" applyBorder="1" applyAlignment="1">
      <alignment horizontal="center"/>
    </xf>
    <xf numFmtId="42" fontId="0" fillId="2" borderId="7" xfId="0" applyNumberFormat="1" applyFont="1" applyFill="1" applyBorder="1"/>
    <xf numFmtId="15" fontId="0" fillId="0" borderId="5" xfId="0" applyNumberFormat="1" applyFont="1" applyBorder="1" applyAlignment="1">
      <alignment horizontal="center"/>
    </xf>
    <xf numFmtId="0" fontId="0" fillId="2" borderId="7" xfId="0" applyFon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42" fontId="0" fillId="0" borderId="2" xfId="0" applyNumberFormat="1" applyFont="1" applyBorder="1" applyAlignment="1">
      <alignment horizontal="center" vertical="center"/>
    </xf>
    <xf numFmtId="42" fontId="0" fillId="0" borderId="3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2" fontId="0" fillId="0" borderId="4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42" fontId="0" fillId="0" borderId="4" xfId="1" applyNumberFormat="1" applyFont="1" applyBorder="1" applyAlignment="1">
      <alignment horizontal="center" vertical="center"/>
    </xf>
    <xf numFmtId="42" fontId="0" fillId="0" borderId="2" xfId="1" applyNumberFormat="1" applyFont="1" applyBorder="1" applyAlignment="1">
      <alignment horizontal="center" vertical="center"/>
    </xf>
    <xf numFmtId="42" fontId="0" fillId="0" borderId="3" xfId="1" applyNumberFormat="1" applyFont="1" applyBorder="1" applyAlignment="1">
      <alignment horizontal="center" vertical="center"/>
    </xf>
    <xf numFmtId="42" fontId="0" fillId="0" borderId="7" xfId="1" applyNumberFormat="1" applyFont="1" applyBorder="1"/>
    <xf numFmtId="15" fontId="0" fillId="2" borderId="5" xfId="0" applyNumberFormat="1" applyFont="1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6F04-578F-4862-93D2-BE2165CCF7B2}">
  <dimension ref="A2:E12"/>
  <sheetViews>
    <sheetView workbookViewId="0">
      <pane ySplit="1515" activePane="bottomLeft"/>
      <selection pane="bottomLeft" activeCell="A4" sqref="A4"/>
    </sheetView>
  </sheetViews>
  <sheetFormatPr defaultRowHeight="15" x14ac:dyDescent="0.25"/>
  <cols>
    <col min="1" max="1" width="11" style="1" customWidth="1"/>
    <col min="2" max="2" width="21.85546875" customWidth="1"/>
    <col min="3" max="3" width="35" customWidth="1"/>
    <col min="4" max="4" width="19" customWidth="1"/>
    <col min="5" max="5" width="16.42578125" customWidth="1"/>
    <col min="9" max="10" width="14.28515625" bestFit="1" customWidth="1"/>
  </cols>
  <sheetData>
    <row r="2" spans="1:5" x14ac:dyDescent="0.25">
      <c r="A2" s="46" t="s">
        <v>68</v>
      </c>
      <c r="B2" s="46"/>
      <c r="C2" s="46"/>
      <c r="D2" s="46"/>
      <c r="E2" s="46"/>
    </row>
    <row r="3" spans="1:5" x14ac:dyDescent="0.25">
      <c r="A3" s="46"/>
      <c r="B3" s="46"/>
      <c r="C3" s="46"/>
      <c r="D3" s="46"/>
      <c r="E3" s="46"/>
    </row>
    <row r="4" spans="1:5" ht="15.75" x14ac:dyDescent="0.2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</row>
    <row r="5" spans="1:5" x14ac:dyDescent="0.25">
      <c r="A5" s="4">
        <v>45387</v>
      </c>
      <c r="B5" s="4" t="s">
        <v>5</v>
      </c>
      <c r="C5" s="5" t="s">
        <v>6</v>
      </c>
      <c r="D5" s="6">
        <v>389832555</v>
      </c>
      <c r="E5" s="47">
        <f>SUM(D5:D7)</f>
        <v>420912555</v>
      </c>
    </row>
    <row r="6" spans="1:5" x14ac:dyDescent="0.25">
      <c r="A6" s="4">
        <v>45406</v>
      </c>
      <c r="B6" s="4" t="s">
        <v>7</v>
      </c>
      <c r="C6" s="5" t="s">
        <v>6</v>
      </c>
      <c r="D6" s="6">
        <v>15540000</v>
      </c>
      <c r="E6" s="47"/>
    </row>
    <row r="7" spans="1:5" x14ac:dyDescent="0.25">
      <c r="A7" s="7">
        <v>45429</v>
      </c>
      <c r="B7" s="7" t="s">
        <v>8</v>
      </c>
      <c r="C7" s="8" t="s">
        <v>6</v>
      </c>
      <c r="D7" s="9">
        <v>15540000</v>
      </c>
      <c r="E7" s="48"/>
    </row>
    <row r="8" spans="1:5" x14ac:dyDescent="0.25">
      <c r="A8" s="10"/>
      <c r="B8" s="10"/>
      <c r="C8" s="11"/>
      <c r="D8" s="12"/>
      <c r="E8" s="13"/>
    </row>
    <row r="9" spans="1:5" x14ac:dyDescent="0.25">
      <c r="A9" s="27"/>
      <c r="B9" s="22"/>
      <c r="C9" s="22"/>
      <c r="D9" s="22"/>
      <c r="E9" s="22"/>
    </row>
    <row r="10" spans="1:5" x14ac:dyDescent="0.25">
      <c r="A10" s="43" t="s">
        <v>34</v>
      </c>
      <c r="B10" s="44"/>
      <c r="C10" s="44"/>
      <c r="D10" s="45"/>
      <c r="E10" s="2">
        <f>SUM(E5:E9)</f>
        <v>420912555</v>
      </c>
    </row>
    <row r="11" spans="1:5" x14ac:dyDescent="0.25">
      <c r="A11" s="28"/>
      <c r="B11" s="29"/>
      <c r="C11" s="29"/>
      <c r="D11" s="29"/>
      <c r="E11" s="29"/>
    </row>
    <row r="12" spans="1:5" x14ac:dyDescent="0.25">
      <c r="A12" s="28"/>
      <c r="B12" s="29"/>
      <c r="C12" s="29"/>
      <c r="D12" s="29"/>
      <c r="E12" s="29"/>
    </row>
  </sheetData>
  <mergeCells count="3">
    <mergeCell ref="A10:D10"/>
    <mergeCell ref="A2:E3"/>
    <mergeCell ref="E5:E7"/>
  </mergeCells>
  <pageMargins left="0.19685039370078741" right="0.19685039370078741" top="0.19685039370078741" bottom="0.19685039370078741" header="0.19685039370078741" footer="0.19685039370078741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3388-9573-43F5-B151-760FC9B4AC46}">
  <dimension ref="A2:E58"/>
  <sheetViews>
    <sheetView tabSelected="1" workbookViewId="0">
      <pane ySplit="1515" topLeftCell="A23" activePane="bottomLeft"/>
      <selection activeCell="D4" sqref="D4"/>
      <selection pane="bottomLeft" activeCell="A4" sqref="A4"/>
    </sheetView>
  </sheetViews>
  <sheetFormatPr defaultRowHeight="15" x14ac:dyDescent="0.25"/>
  <cols>
    <col min="1" max="1" width="10.42578125" style="1" customWidth="1"/>
    <col min="2" max="2" width="22.140625" customWidth="1"/>
    <col min="3" max="3" width="36.5703125" customWidth="1"/>
    <col min="4" max="4" width="19" customWidth="1"/>
    <col min="5" max="5" width="16.5703125" bestFit="1" customWidth="1"/>
    <col min="9" max="10" width="14.28515625" bestFit="1" customWidth="1"/>
  </cols>
  <sheetData>
    <row r="2" spans="1:5" x14ac:dyDescent="0.25">
      <c r="A2" s="49" t="s">
        <v>192</v>
      </c>
      <c r="B2" s="49"/>
      <c r="C2" s="49"/>
      <c r="D2" s="49"/>
      <c r="E2" s="49"/>
    </row>
    <row r="3" spans="1:5" x14ac:dyDescent="0.25">
      <c r="A3" s="50"/>
      <c r="B3" s="50"/>
      <c r="C3" s="50"/>
      <c r="D3" s="50"/>
      <c r="E3" s="50"/>
    </row>
    <row r="4" spans="1:5" ht="15.75" x14ac:dyDescent="0.25">
      <c r="A4" s="3" t="s">
        <v>40</v>
      </c>
      <c r="B4" s="3" t="s">
        <v>41</v>
      </c>
      <c r="C4" s="3" t="s">
        <v>42</v>
      </c>
      <c r="D4" s="3" t="s">
        <v>102</v>
      </c>
      <c r="E4" s="3" t="s">
        <v>44</v>
      </c>
    </row>
    <row r="5" spans="1:5" x14ac:dyDescent="0.25">
      <c r="A5" s="4">
        <v>45680</v>
      </c>
      <c r="B5" s="4" t="s">
        <v>69</v>
      </c>
      <c r="C5" s="5" t="s">
        <v>70</v>
      </c>
      <c r="D5" s="6">
        <v>135002500</v>
      </c>
      <c r="E5" s="51">
        <f>SUM(D5:D6)</f>
        <v>135002500</v>
      </c>
    </row>
    <row r="6" spans="1:5" x14ac:dyDescent="0.25">
      <c r="A6" s="4"/>
      <c r="B6" s="4"/>
      <c r="C6" s="5"/>
      <c r="D6" s="6"/>
      <c r="E6" s="47"/>
    </row>
    <row r="7" spans="1:5" x14ac:dyDescent="0.25">
      <c r="A7" s="10"/>
      <c r="B7" s="10"/>
      <c r="C7" s="11"/>
      <c r="D7" s="12"/>
      <c r="E7" s="13"/>
    </row>
    <row r="8" spans="1:5" x14ac:dyDescent="0.25">
      <c r="A8" s="41">
        <v>45876</v>
      </c>
      <c r="B8" s="22" t="s">
        <v>123</v>
      </c>
      <c r="C8" s="22" t="s">
        <v>49</v>
      </c>
      <c r="D8" s="38">
        <v>348915735</v>
      </c>
      <c r="E8" s="47">
        <f>SUM(D8:D10)</f>
        <v>597555735</v>
      </c>
    </row>
    <row r="9" spans="1:5" x14ac:dyDescent="0.25">
      <c r="A9" s="41">
        <v>45894</v>
      </c>
      <c r="B9" s="22" t="s">
        <v>129</v>
      </c>
      <c r="C9" s="22" t="s">
        <v>107</v>
      </c>
      <c r="D9" s="38">
        <v>12987000</v>
      </c>
      <c r="E9" s="47"/>
    </row>
    <row r="10" spans="1:5" x14ac:dyDescent="0.25">
      <c r="A10" s="41">
        <v>45894</v>
      </c>
      <c r="B10" s="22" t="s">
        <v>131</v>
      </c>
      <c r="C10" s="22" t="s">
        <v>49</v>
      </c>
      <c r="D10" s="38">
        <v>235653000</v>
      </c>
      <c r="E10" s="47"/>
    </row>
    <row r="11" spans="1:5" x14ac:dyDescent="0.25">
      <c r="A11" s="39"/>
      <c r="B11" s="19"/>
      <c r="C11" s="19"/>
      <c r="D11" s="40"/>
      <c r="E11" s="20"/>
    </row>
    <row r="12" spans="1:5" x14ac:dyDescent="0.25">
      <c r="A12" s="41">
        <v>45919</v>
      </c>
      <c r="B12" s="22" t="s">
        <v>141</v>
      </c>
      <c r="C12" s="22" t="s">
        <v>94</v>
      </c>
      <c r="D12" s="38">
        <v>6882000</v>
      </c>
      <c r="E12" s="47">
        <f>SUM(D12:D14)</f>
        <v>227328000</v>
      </c>
    </row>
    <row r="13" spans="1:5" x14ac:dyDescent="0.25">
      <c r="A13" s="41">
        <v>45917</v>
      </c>
      <c r="B13" s="22" t="s">
        <v>142</v>
      </c>
      <c r="C13" s="22" t="s">
        <v>49</v>
      </c>
      <c r="D13" s="38">
        <v>57720000</v>
      </c>
      <c r="E13" s="52"/>
    </row>
    <row r="14" spans="1:5" x14ac:dyDescent="0.25">
      <c r="A14" s="41">
        <v>45917</v>
      </c>
      <c r="B14" s="22" t="s">
        <v>143</v>
      </c>
      <c r="C14" s="22" t="s">
        <v>49</v>
      </c>
      <c r="D14" s="38">
        <v>162726000</v>
      </c>
      <c r="E14" s="52"/>
    </row>
    <row r="15" spans="1:5" x14ac:dyDescent="0.25">
      <c r="A15" s="39"/>
      <c r="B15" s="19"/>
      <c r="C15" s="19"/>
      <c r="D15" s="42"/>
      <c r="E15" s="19"/>
    </row>
    <row r="16" spans="1:5" x14ac:dyDescent="0.25">
      <c r="A16" s="41">
        <v>45936</v>
      </c>
      <c r="B16" s="22" t="s">
        <v>157</v>
      </c>
      <c r="C16" s="22" t="s">
        <v>150</v>
      </c>
      <c r="D16" s="38">
        <v>13528125</v>
      </c>
      <c r="E16" s="51">
        <f>SUM(D16:D27)</f>
        <v>580795457</v>
      </c>
    </row>
    <row r="17" spans="1:5" x14ac:dyDescent="0.25">
      <c r="A17" s="41">
        <v>45936</v>
      </c>
      <c r="B17" s="22" t="s">
        <v>158</v>
      </c>
      <c r="C17" s="22" t="s">
        <v>151</v>
      </c>
      <c r="D17" s="38">
        <v>10545000</v>
      </c>
      <c r="E17" s="52"/>
    </row>
    <row r="18" spans="1:5" x14ac:dyDescent="0.25">
      <c r="A18" s="41">
        <v>45943</v>
      </c>
      <c r="B18" s="22" t="s">
        <v>159</v>
      </c>
      <c r="C18" s="22" t="s">
        <v>152</v>
      </c>
      <c r="D18" s="57">
        <v>41499737</v>
      </c>
      <c r="E18" s="52"/>
    </row>
    <row r="19" spans="1:5" x14ac:dyDescent="0.25">
      <c r="A19" s="41">
        <v>45961</v>
      </c>
      <c r="B19" s="22" t="s">
        <v>160</v>
      </c>
      <c r="C19" s="22" t="s">
        <v>55</v>
      </c>
      <c r="D19" s="38">
        <v>28083000</v>
      </c>
      <c r="E19" s="52"/>
    </row>
    <row r="20" spans="1:5" x14ac:dyDescent="0.25">
      <c r="A20" s="41">
        <v>45946</v>
      </c>
      <c r="B20" s="22" t="s">
        <v>161</v>
      </c>
      <c r="C20" s="22" t="s">
        <v>2</v>
      </c>
      <c r="D20" s="38">
        <v>46744320</v>
      </c>
      <c r="E20" s="52"/>
    </row>
    <row r="21" spans="1:5" x14ac:dyDescent="0.25">
      <c r="A21" s="41">
        <v>45946</v>
      </c>
      <c r="B21" s="22" t="s">
        <v>162</v>
      </c>
      <c r="C21" s="22" t="s">
        <v>2</v>
      </c>
      <c r="D21" s="38">
        <v>101898000</v>
      </c>
      <c r="E21" s="52"/>
    </row>
    <row r="22" spans="1:5" x14ac:dyDescent="0.25">
      <c r="A22" s="41">
        <v>45951</v>
      </c>
      <c r="B22" s="22" t="s">
        <v>163</v>
      </c>
      <c r="C22" s="22" t="s">
        <v>2</v>
      </c>
      <c r="D22" s="38">
        <v>8658000</v>
      </c>
      <c r="E22" s="52"/>
    </row>
    <row r="23" spans="1:5" x14ac:dyDescent="0.25">
      <c r="A23" s="41">
        <v>45951</v>
      </c>
      <c r="B23" s="22" t="s">
        <v>164</v>
      </c>
      <c r="C23" s="22" t="s">
        <v>51</v>
      </c>
      <c r="D23" s="38">
        <v>87135000</v>
      </c>
      <c r="E23" s="52"/>
    </row>
    <row r="24" spans="1:5" x14ac:dyDescent="0.25">
      <c r="A24" s="41">
        <v>45953</v>
      </c>
      <c r="B24" s="22" t="s">
        <v>165</v>
      </c>
      <c r="C24" s="22" t="s">
        <v>153</v>
      </c>
      <c r="D24" s="38">
        <v>21134400</v>
      </c>
      <c r="E24" s="52"/>
    </row>
    <row r="25" spans="1:5" x14ac:dyDescent="0.25">
      <c r="A25" s="41">
        <v>45953</v>
      </c>
      <c r="B25" s="22" t="s">
        <v>166</v>
      </c>
      <c r="C25" s="22" t="s">
        <v>55</v>
      </c>
      <c r="D25" s="38">
        <v>13500375</v>
      </c>
      <c r="E25" s="52"/>
    </row>
    <row r="26" spans="1:5" x14ac:dyDescent="0.25">
      <c r="A26" s="41">
        <v>45953</v>
      </c>
      <c r="B26" s="22" t="s">
        <v>167</v>
      </c>
      <c r="C26" s="22" t="s">
        <v>55</v>
      </c>
      <c r="D26" s="38">
        <v>41569500</v>
      </c>
      <c r="E26" s="52"/>
    </row>
    <row r="27" spans="1:5" x14ac:dyDescent="0.25">
      <c r="A27" s="41">
        <v>45958</v>
      </c>
      <c r="B27" s="22" t="s">
        <v>168</v>
      </c>
      <c r="C27" s="22" t="s">
        <v>154</v>
      </c>
      <c r="D27" s="38">
        <v>166500000</v>
      </c>
      <c r="E27" s="53"/>
    </row>
    <row r="28" spans="1:5" x14ac:dyDescent="0.25">
      <c r="A28" s="39"/>
      <c r="B28" s="19"/>
      <c r="C28" s="19"/>
      <c r="D28" s="42"/>
      <c r="E28" s="19"/>
    </row>
    <row r="29" spans="1:5" x14ac:dyDescent="0.25">
      <c r="A29" s="41">
        <v>45965</v>
      </c>
      <c r="B29" s="22" t="s">
        <v>155</v>
      </c>
      <c r="C29" s="22" t="s">
        <v>112</v>
      </c>
      <c r="D29" s="38">
        <v>35049027</v>
      </c>
      <c r="E29" s="51">
        <f>SUM(D29:D49)</f>
        <v>2902032117</v>
      </c>
    </row>
    <row r="30" spans="1:5" x14ac:dyDescent="0.25">
      <c r="A30" s="41">
        <v>45965</v>
      </c>
      <c r="B30" s="22" t="s">
        <v>169</v>
      </c>
      <c r="C30" s="22" t="s">
        <v>156</v>
      </c>
      <c r="D30" s="38">
        <v>75091500</v>
      </c>
      <c r="E30" s="52"/>
    </row>
    <row r="31" spans="1:5" x14ac:dyDescent="0.25">
      <c r="A31" s="41">
        <v>45967</v>
      </c>
      <c r="B31" s="22" t="s">
        <v>170</v>
      </c>
      <c r="C31" s="22" t="s">
        <v>39</v>
      </c>
      <c r="D31" s="38">
        <v>39543750</v>
      </c>
      <c r="E31" s="52"/>
    </row>
    <row r="32" spans="1:5" x14ac:dyDescent="0.25">
      <c r="A32" s="41">
        <v>45968</v>
      </c>
      <c r="B32" s="22" t="s">
        <v>171</v>
      </c>
      <c r="C32" s="22" t="s">
        <v>1</v>
      </c>
      <c r="D32" s="38">
        <v>40962885</v>
      </c>
      <c r="E32" s="52"/>
    </row>
    <row r="33" spans="1:5" x14ac:dyDescent="0.25">
      <c r="A33" s="41">
        <v>45973</v>
      </c>
      <c r="B33" s="22" t="s">
        <v>172</v>
      </c>
      <c r="C33" s="22" t="s">
        <v>51</v>
      </c>
      <c r="D33" s="38">
        <v>70362270</v>
      </c>
      <c r="E33" s="52"/>
    </row>
    <row r="34" spans="1:5" x14ac:dyDescent="0.25">
      <c r="A34" s="41">
        <v>45973</v>
      </c>
      <c r="B34" s="22" t="s">
        <v>173</v>
      </c>
      <c r="C34" s="22" t="s">
        <v>55</v>
      </c>
      <c r="D34" s="38">
        <v>20535000</v>
      </c>
      <c r="E34" s="52"/>
    </row>
    <row r="35" spans="1:5" x14ac:dyDescent="0.25">
      <c r="A35" s="41">
        <v>45973</v>
      </c>
      <c r="B35" s="22" t="s">
        <v>174</v>
      </c>
      <c r="C35" s="22" t="s">
        <v>32</v>
      </c>
      <c r="D35" s="38">
        <v>163170</v>
      </c>
      <c r="E35" s="52"/>
    </row>
    <row r="36" spans="1:5" x14ac:dyDescent="0.25">
      <c r="A36" s="41">
        <v>45974</v>
      </c>
      <c r="B36" s="22" t="s">
        <v>175</v>
      </c>
      <c r="C36" s="22" t="s">
        <v>176</v>
      </c>
      <c r="D36" s="38">
        <v>749100150</v>
      </c>
      <c r="E36" s="52"/>
    </row>
    <row r="37" spans="1:5" x14ac:dyDescent="0.25">
      <c r="A37" s="41">
        <v>45974</v>
      </c>
      <c r="B37" s="22" t="s">
        <v>177</v>
      </c>
      <c r="C37" s="22" t="s">
        <v>3</v>
      </c>
      <c r="D37" s="38">
        <v>3524250</v>
      </c>
      <c r="E37" s="52"/>
    </row>
    <row r="38" spans="1:5" x14ac:dyDescent="0.25">
      <c r="A38" s="41">
        <v>45974</v>
      </c>
      <c r="B38" s="22" t="s">
        <v>178</v>
      </c>
      <c r="C38" s="22" t="s">
        <v>21</v>
      </c>
      <c r="D38" s="38">
        <v>62992500</v>
      </c>
      <c r="E38" s="52"/>
    </row>
    <row r="39" spans="1:5" x14ac:dyDescent="0.25">
      <c r="A39" s="41">
        <v>45975</v>
      </c>
      <c r="B39" s="22" t="s">
        <v>179</v>
      </c>
      <c r="C39" s="22" t="s">
        <v>27</v>
      </c>
      <c r="D39" s="38">
        <v>563036622</v>
      </c>
      <c r="E39" s="52"/>
    </row>
    <row r="40" spans="1:5" x14ac:dyDescent="0.25">
      <c r="A40" s="41">
        <v>45975</v>
      </c>
      <c r="B40" s="22" t="s">
        <v>180</v>
      </c>
      <c r="C40" s="22" t="s">
        <v>27</v>
      </c>
      <c r="D40" s="38">
        <v>89838738</v>
      </c>
      <c r="E40" s="52"/>
    </row>
    <row r="41" spans="1:5" x14ac:dyDescent="0.25">
      <c r="A41" s="41">
        <v>45975</v>
      </c>
      <c r="B41" s="22" t="s">
        <v>181</v>
      </c>
      <c r="C41" s="22" t="s">
        <v>32</v>
      </c>
      <c r="D41" s="38">
        <v>10451205</v>
      </c>
      <c r="E41" s="52"/>
    </row>
    <row r="42" spans="1:5" x14ac:dyDescent="0.25">
      <c r="A42" s="41">
        <v>45975</v>
      </c>
      <c r="B42" s="22" t="s">
        <v>182</v>
      </c>
      <c r="C42" s="22" t="s">
        <v>156</v>
      </c>
      <c r="D42" s="38">
        <v>124320000</v>
      </c>
      <c r="E42" s="52"/>
    </row>
    <row r="43" spans="1:5" x14ac:dyDescent="0.25">
      <c r="A43" s="41">
        <v>45978</v>
      </c>
      <c r="B43" s="22" t="s">
        <v>183</v>
      </c>
      <c r="C43" s="22" t="s">
        <v>184</v>
      </c>
      <c r="D43" s="38">
        <v>49062000</v>
      </c>
      <c r="E43" s="52"/>
    </row>
    <row r="44" spans="1:5" x14ac:dyDescent="0.25">
      <c r="A44" s="41">
        <v>45978</v>
      </c>
      <c r="B44" s="22" t="s">
        <v>185</v>
      </c>
      <c r="C44" s="22" t="s">
        <v>176</v>
      </c>
      <c r="D44" s="38">
        <v>443039850</v>
      </c>
      <c r="E44" s="52"/>
    </row>
    <row r="45" spans="1:5" x14ac:dyDescent="0.25">
      <c r="A45" s="41">
        <v>45978</v>
      </c>
      <c r="B45" s="22" t="s">
        <v>186</v>
      </c>
      <c r="C45" s="22" t="s">
        <v>176</v>
      </c>
      <c r="D45" s="38">
        <v>443039850</v>
      </c>
      <c r="E45" s="52"/>
    </row>
    <row r="46" spans="1:5" x14ac:dyDescent="0.25">
      <c r="A46" s="41">
        <v>45981</v>
      </c>
      <c r="B46" s="22" t="s">
        <v>187</v>
      </c>
      <c r="C46" s="22" t="s">
        <v>3</v>
      </c>
      <c r="D46" s="38">
        <v>3542250</v>
      </c>
      <c r="E46" s="52"/>
    </row>
    <row r="47" spans="1:5" x14ac:dyDescent="0.25">
      <c r="A47" s="41">
        <v>45986</v>
      </c>
      <c r="B47" s="22" t="s">
        <v>188</v>
      </c>
      <c r="C47" s="22" t="s">
        <v>107</v>
      </c>
      <c r="D47" s="38">
        <v>12987000</v>
      </c>
      <c r="E47" s="52"/>
    </row>
    <row r="48" spans="1:5" x14ac:dyDescent="0.25">
      <c r="A48" s="41">
        <v>45986</v>
      </c>
      <c r="B48" s="22" t="s">
        <v>189</v>
      </c>
      <c r="C48" s="22" t="s">
        <v>32</v>
      </c>
      <c r="D48" s="38">
        <v>22377600</v>
      </c>
      <c r="E48" s="52"/>
    </row>
    <row r="49" spans="1:5" x14ac:dyDescent="0.25">
      <c r="A49" s="41">
        <v>45989</v>
      </c>
      <c r="B49" s="22" t="s">
        <v>190</v>
      </c>
      <c r="C49" s="22" t="s">
        <v>32</v>
      </c>
      <c r="D49" s="38">
        <v>43012500</v>
      </c>
      <c r="E49" s="53"/>
    </row>
    <row r="50" spans="1:5" x14ac:dyDescent="0.25">
      <c r="A50" s="58"/>
      <c r="B50" s="19"/>
      <c r="C50" s="19"/>
      <c r="D50" s="40"/>
      <c r="E50" s="19"/>
    </row>
    <row r="51" spans="1:5" x14ac:dyDescent="0.25">
      <c r="A51" s="41"/>
      <c r="B51" s="22"/>
      <c r="C51" s="22"/>
      <c r="D51" s="38"/>
      <c r="E51" s="22"/>
    </row>
    <row r="52" spans="1:5" x14ac:dyDescent="0.25">
      <c r="A52" s="41"/>
      <c r="B52" s="22"/>
      <c r="C52" s="22"/>
      <c r="D52" s="38"/>
      <c r="E52" s="22"/>
    </row>
    <row r="53" spans="1:5" x14ac:dyDescent="0.25">
      <c r="A53" s="34"/>
      <c r="B53" s="22"/>
      <c r="C53" s="22"/>
      <c r="D53" s="35"/>
      <c r="E53" s="22"/>
    </row>
    <row r="54" spans="1:5" x14ac:dyDescent="0.25">
      <c r="A54" s="34"/>
      <c r="B54" s="22"/>
      <c r="C54" s="22"/>
      <c r="D54" s="35"/>
      <c r="E54" s="22"/>
    </row>
    <row r="55" spans="1:5" x14ac:dyDescent="0.25">
      <c r="A55" s="34"/>
      <c r="B55" s="22"/>
      <c r="C55" s="22"/>
      <c r="D55" s="35"/>
      <c r="E55" s="22"/>
    </row>
    <row r="56" spans="1:5" x14ac:dyDescent="0.25">
      <c r="A56" s="43" t="s">
        <v>191</v>
      </c>
      <c r="B56" s="44"/>
      <c r="C56" s="44"/>
      <c r="D56" s="45"/>
      <c r="E56" s="2">
        <f>SUM(E5:E49)</f>
        <v>4442713809</v>
      </c>
    </row>
    <row r="57" spans="1:5" x14ac:dyDescent="0.25">
      <c r="A57" s="28"/>
      <c r="B57" s="29"/>
      <c r="C57" s="29"/>
      <c r="D57" s="29"/>
      <c r="E57" s="29"/>
    </row>
    <row r="58" spans="1:5" x14ac:dyDescent="0.25">
      <c r="A58" s="28"/>
      <c r="B58" s="29"/>
      <c r="C58" s="29"/>
      <c r="D58" s="29"/>
      <c r="E58" s="29"/>
    </row>
  </sheetData>
  <mergeCells count="7">
    <mergeCell ref="A56:D56"/>
    <mergeCell ref="E16:E27"/>
    <mergeCell ref="E29:E49"/>
    <mergeCell ref="A2:E3"/>
    <mergeCell ref="E5:E6"/>
    <mergeCell ref="E8:E10"/>
    <mergeCell ref="E12:E14"/>
  </mergeCells>
  <pageMargins left="0.59055118110236227" right="0.19685039370078741" top="0.19685039370078741" bottom="0.19685039370078741" header="0.19685039370078741" footer="0.19685039370078741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8829-EFD3-4758-8196-44E89F9A13F8}">
  <dimension ref="A2:E47"/>
  <sheetViews>
    <sheetView workbookViewId="0">
      <pane ySplit="1515" topLeftCell="A12" activePane="bottomLeft"/>
      <selection activeCell="D4" sqref="D4"/>
      <selection pane="bottomLeft" activeCell="A46" sqref="A46"/>
    </sheetView>
  </sheetViews>
  <sheetFormatPr defaultRowHeight="15" x14ac:dyDescent="0.25"/>
  <cols>
    <col min="1" max="1" width="10.42578125" style="1" customWidth="1"/>
    <col min="2" max="2" width="22.140625" customWidth="1"/>
    <col min="3" max="3" width="36.5703125" customWidth="1"/>
    <col min="4" max="4" width="19" customWidth="1"/>
    <col min="5" max="5" width="16.5703125" bestFit="1" customWidth="1"/>
    <col min="9" max="10" width="14.28515625" bestFit="1" customWidth="1"/>
  </cols>
  <sheetData>
    <row r="2" spans="1:5" x14ac:dyDescent="0.25">
      <c r="A2" s="49" t="s">
        <v>148</v>
      </c>
      <c r="B2" s="49"/>
      <c r="C2" s="49"/>
      <c r="D2" s="49"/>
      <c r="E2" s="49"/>
    </row>
    <row r="3" spans="1:5" x14ac:dyDescent="0.25">
      <c r="A3" s="50"/>
      <c r="B3" s="50"/>
      <c r="C3" s="50"/>
      <c r="D3" s="50"/>
      <c r="E3" s="50"/>
    </row>
    <row r="4" spans="1:5" ht="15.75" x14ac:dyDescent="0.25">
      <c r="A4" s="3" t="s">
        <v>40</v>
      </c>
      <c r="B4" s="3" t="s">
        <v>41</v>
      </c>
      <c r="C4" s="3" t="s">
        <v>42</v>
      </c>
      <c r="D4" s="3" t="s">
        <v>102</v>
      </c>
      <c r="E4" s="3" t="s">
        <v>44</v>
      </c>
    </row>
    <row r="5" spans="1:5" x14ac:dyDescent="0.25">
      <c r="A5" s="4">
        <v>45680</v>
      </c>
      <c r="B5" s="4" t="s">
        <v>69</v>
      </c>
      <c r="C5" s="5" t="s">
        <v>70</v>
      </c>
      <c r="D5" s="6">
        <v>135002500</v>
      </c>
      <c r="E5" s="51">
        <f>SUM(D5:D6)</f>
        <v>135002500</v>
      </c>
    </row>
    <row r="6" spans="1:5" x14ac:dyDescent="0.25">
      <c r="A6" s="4"/>
      <c r="B6" s="4"/>
      <c r="C6" s="5"/>
      <c r="D6" s="6"/>
      <c r="E6" s="47"/>
    </row>
    <row r="7" spans="1:5" x14ac:dyDescent="0.25">
      <c r="A7" s="10"/>
      <c r="B7" s="10"/>
      <c r="C7" s="11"/>
      <c r="D7" s="12"/>
      <c r="E7" s="13"/>
    </row>
    <row r="8" spans="1:5" x14ac:dyDescent="0.25">
      <c r="A8" s="41">
        <v>45842</v>
      </c>
      <c r="B8" s="22" t="s">
        <v>105</v>
      </c>
      <c r="C8" s="22" t="s">
        <v>2</v>
      </c>
      <c r="D8" s="38">
        <v>40071000</v>
      </c>
      <c r="E8" s="51">
        <f>SUM(D8:D14)</f>
        <v>172840770</v>
      </c>
    </row>
    <row r="9" spans="1:5" x14ac:dyDescent="0.25">
      <c r="A9" s="41">
        <v>45842</v>
      </c>
      <c r="B9" s="22" t="s">
        <v>106</v>
      </c>
      <c r="C9" s="22" t="s">
        <v>107</v>
      </c>
      <c r="D9" s="38">
        <v>12987000</v>
      </c>
      <c r="E9" s="47"/>
    </row>
    <row r="10" spans="1:5" x14ac:dyDescent="0.25">
      <c r="A10" s="41">
        <v>45842</v>
      </c>
      <c r="B10" s="22" t="s">
        <v>108</v>
      </c>
      <c r="C10" s="22" t="s">
        <v>2</v>
      </c>
      <c r="D10" s="38">
        <v>31468500</v>
      </c>
      <c r="E10" s="47"/>
    </row>
    <row r="11" spans="1:5" x14ac:dyDescent="0.25">
      <c r="A11" s="41">
        <v>45847</v>
      </c>
      <c r="B11" s="22" t="s">
        <v>109</v>
      </c>
      <c r="C11" s="22" t="s">
        <v>39</v>
      </c>
      <c r="D11" s="38">
        <v>15767550</v>
      </c>
      <c r="E11" s="47"/>
    </row>
    <row r="12" spans="1:5" x14ac:dyDescent="0.25">
      <c r="A12" s="41">
        <v>45856</v>
      </c>
      <c r="B12" s="22" t="s">
        <v>110</v>
      </c>
      <c r="C12" s="22" t="s">
        <v>2</v>
      </c>
      <c r="D12" s="38">
        <v>33966000</v>
      </c>
      <c r="E12" s="47"/>
    </row>
    <row r="13" spans="1:5" x14ac:dyDescent="0.25">
      <c r="A13" s="41">
        <v>45859</v>
      </c>
      <c r="B13" s="22" t="s">
        <v>113</v>
      </c>
      <c r="C13" s="22" t="s">
        <v>112</v>
      </c>
      <c r="D13" s="38">
        <v>10497720</v>
      </c>
      <c r="E13" s="47"/>
    </row>
    <row r="14" spans="1:5" x14ac:dyDescent="0.25">
      <c r="A14" s="41">
        <v>45861</v>
      </c>
      <c r="B14" s="22" t="s">
        <v>114</v>
      </c>
      <c r="C14" s="22" t="s">
        <v>115</v>
      </c>
      <c r="D14" s="38">
        <v>28083000</v>
      </c>
      <c r="E14" s="47"/>
    </row>
    <row r="15" spans="1:5" x14ac:dyDescent="0.25">
      <c r="A15" s="39"/>
      <c r="B15" s="19"/>
      <c r="C15" s="19"/>
      <c r="D15" s="40"/>
      <c r="E15" s="20"/>
    </row>
    <row r="16" spans="1:5" x14ac:dyDescent="0.25">
      <c r="A16" s="41">
        <v>45870</v>
      </c>
      <c r="B16" s="22" t="s">
        <v>116</v>
      </c>
      <c r="C16" s="22" t="s">
        <v>112</v>
      </c>
      <c r="D16" s="38">
        <v>5772000</v>
      </c>
      <c r="E16" s="51">
        <f>SUM(D16:D23)</f>
        <v>785016063</v>
      </c>
    </row>
    <row r="17" spans="1:5" x14ac:dyDescent="0.25">
      <c r="A17" s="41">
        <v>45874</v>
      </c>
      <c r="B17" s="22" t="s">
        <v>117</v>
      </c>
      <c r="C17" s="22" t="s">
        <v>112</v>
      </c>
      <c r="D17" s="38">
        <v>21761828</v>
      </c>
      <c r="E17" s="47"/>
    </row>
    <row r="18" spans="1:5" x14ac:dyDescent="0.25">
      <c r="A18" s="41">
        <v>45874</v>
      </c>
      <c r="B18" s="22" t="s">
        <v>118</v>
      </c>
      <c r="C18" s="22" t="s">
        <v>2</v>
      </c>
      <c r="D18" s="38">
        <v>93406500</v>
      </c>
      <c r="E18" s="47"/>
    </row>
    <row r="19" spans="1:5" x14ac:dyDescent="0.25">
      <c r="A19" s="41">
        <v>45876</v>
      </c>
      <c r="B19" s="22" t="s">
        <v>123</v>
      </c>
      <c r="C19" s="22" t="s">
        <v>49</v>
      </c>
      <c r="D19" s="38">
        <v>348915735</v>
      </c>
      <c r="E19" s="47"/>
    </row>
    <row r="20" spans="1:5" x14ac:dyDescent="0.25">
      <c r="A20" s="41">
        <v>45894</v>
      </c>
      <c r="B20" s="22" t="s">
        <v>129</v>
      </c>
      <c r="C20" s="22" t="s">
        <v>107</v>
      </c>
      <c r="D20" s="38">
        <v>12987000</v>
      </c>
      <c r="E20" s="47"/>
    </row>
    <row r="21" spans="1:5" x14ac:dyDescent="0.25">
      <c r="A21" s="21">
        <v>45896</v>
      </c>
      <c r="B21" s="36" t="s">
        <v>130</v>
      </c>
      <c r="C21" s="22" t="s">
        <v>27</v>
      </c>
      <c r="D21" s="38">
        <v>66067200</v>
      </c>
      <c r="E21" s="47"/>
    </row>
    <row r="22" spans="1:5" x14ac:dyDescent="0.25">
      <c r="A22" s="41">
        <v>45894</v>
      </c>
      <c r="B22" s="22" t="s">
        <v>131</v>
      </c>
      <c r="C22" s="22" t="s">
        <v>49</v>
      </c>
      <c r="D22" s="38">
        <v>235653000</v>
      </c>
      <c r="E22" s="47"/>
    </row>
    <row r="23" spans="1:5" x14ac:dyDescent="0.25">
      <c r="A23" s="41">
        <v>45897</v>
      </c>
      <c r="B23" s="22" t="s">
        <v>132</v>
      </c>
      <c r="C23" s="22" t="s">
        <v>32</v>
      </c>
      <c r="D23" s="38">
        <v>452800</v>
      </c>
      <c r="E23" s="48"/>
    </row>
    <row r="24" spans="1:5" x14ac:dyDescent="0.25">
      <c r="A24" s="39"/>
      <c r="B24" s="19"/>
      <c r="C24" s="19"/>
      <c r="D24" s="40"/>
      <c r="E24" s="20"/>
    </row>
    <row r="25" spans="1:5" x14ac:dyDescent="0.25">
      <c r="A25" s="41">
        <v>45902</v>
      </c>
      <c r="B25" s="22" t="s">
        <v>134</v>
      </c>
      <c r="C25" s="22" t="s">
        <v>32</v>
      </c>
      <c r="D25" s="38">
        <v>8171280</v>
      </c>
      <c r="E25" s="51">
        <f>SUM(D25:D37)</f>
        <v>637058430</v>
      </c>
    </row>
    <row r="26" spans="1:5" x14ac:dyDescent="0.25">
      <c r="A26" s="41">
        <v>45903</v>
      </c>
      <c r="B26" s="22" t="s">
        <v>135</v>
      </c>
      <c r="C26" s="22" t="s">
        <v>3</v>
      </c>
      <c r="D26" s="38">
        <v>4229100</v>
      </c>
      <c r="E26" s="52"/>
    </row>
    <row r="27" spans="1:5" x14ac:dyDescent="0.25">
      <c r="A27" s="41">
        <v>45908</v>
      </c>
      <c r="B27" s="22" t="s">
        <v>137</v>
      </c>
      <c r="C27" s="22" t="s">
        <v>136</v>
      </c>
      <c r="D27" s="38">
        <v>5661000</v>
      </c>
      <c r="E27" s="52"/>
    </row>
    <row r="28" spans="1:5" x14ac:dyDescent="0.25">
      <c r="A28" s="41">
        <v>45911</v>
      </c>
      <c r="B28" s="22" t="s">
        <v>138</v>
      </c>
      <c r="C28" s="22" t="s">
        <v>32</v>
      </c>
      <c r="D28" s="38">
        <v>36630000</v>
      </c>
      <c r="E28" s="52"/>
    </row>
    <row r="29" spans="1:5" x14ac:dyDescent="0.25">
      <c r="A29" s="41">
        <v>45911</v>
      </c>
      <c r="B29" s="22" t="s">
        <v>139</v>
      </c>
      <c r="C29" s="22" t="s">
        <v>39</v>
      </c>
      <c r="D29" s="38">
        <v>26362500</v>
      </c>
      <c r="E29" s="52"/>
    </row>
    <row r="30" spans="1:5" x14ac:dyDescent="0.25">
      <c r="A30" s="41">
        <v>45912</v>
      </c>
      <c r="B30" s="22" t="s">
        <v>140</v>
      </c>
      <c r="C30" s="22" t="s">
        <v>2</v>
      </c>
      <c r="D30" s="38">
        <v>101898000</v>
      </c>
      <c r="E30" s="52"/>
    </row>
    <row r="31" spans="1:5" x14ac:dyDescent="0.25">
      <c r="A31" s="41">
        <v>45919</v>
      </c>
      <c r="B31" s="22" t="s">
        <v>141</v>
      </c>
      <c r="C31" s="22" t="s">
        <v>94</v>
      </c>
      <c r="D31" s="38">
        <v>6882000</v>
      </c>
      <c r="E31" s="52"/>
    </row>
    <row r="32" spans="1:5" x14ac:dyDescent="0.25">
      <c r="A32" s="41">
        <v>45917</v>
      </c>
      <c r="B32" s="22" t="s">
        <v>142</v>
      </c>
      <c r="C32" s="22" t="s">
        <v>49</v>
      </c>
      <c r="D32" s="38">
        <v>57720000</v>
      </c>
      <c r="E32" s="52"/>
    </row>
    <row r="33" spans="1:5" x14ac:dyDescent="0.25">
      <c r="A33" s="41">
        <v>45917</v>
      </c>
      <c r="B33" s="22" t="s">
        <v>143</v>
      </c>
      <c r="C33" s="22" t="s">
        <v>49</v>
      </c>
      <c r="D33" s="38">
        <v>162726000</v>
      </c>
      <c r="E33" s="52"/>
    </row>
    <row r="34" spans="1:5" x14ac:dyDescent="0.25">
      <c r="A34" s="41">
        <v>45923</v>
      </c>
      <c r="B34" s="22" t="s">
        <v>144</v>
      </c>
      <c r="C34" s="22" t="s">
        <v>55</v>
      </c>
      <c r="D34" s="38">
        <v>95127000</v>
      </c>
      <c r="E34" s="52"/>
    </row>
    <row r="35" spans="1:5" x14ac:dyDescent="0.25">
      <c r="A35" s="41">
        <v>45923</v>
      </c>
      <c r="B35" s="22" t="s">
        <v>145</v>
      </c>
      <c r="C35" s="22" t="s">
        <v>21</v>
      </c>
      <c r="D35" s="38">
        <v>6343650</v>
      </c>
      <c r="E35" s="52"/>
    </row>
    <row r="36" spans="1:5" x14ac:dyDescent="0.25">
      <c r="A36" s="41">
        <v>45930</v>
      </c>
      <c r="B36" s="22" t="s">
        <v>146</v>
      </c>
      <c r="C36" s="22" t="s">
        <v>55</v>
      </c>
      <c r="D36" s="38">
        <v>109224000</v>
      </c>
      <c r="E36" s="52"/>
    </row>
    <row r="37" spans="1:5" x14ac:dyDescent="0.25">
      <c r="A37" s="41">
        <v>45930</v>
      </c>
      <c r="B37" s="22" t="s">
        <v>147</v>
      </c>
      <c r="C37" s="22" t="s">
        <v>27</v>
      </c>
      <c r="D37" s="38">
        <v>16083900</v>
      </c>
      <c r="E37" s="53"/>
    </row>
    <row r="38" spans="1:5" x14ac:dyDescent="0.25">
      <c r="A38" s="39"/>
      <c r="B38" s="19"/>
      <c r="C38" s="19"/>
      <c r="D38" s="42"/>
      <c r="E38" s="19"/>
    </row>
    <row r="39" spans="1:5" x14ac:dyDescent="0.25">
      <c r="A39" s="34"/>
      <c r="B39" s="22"/>
      <c r="C39" s="22"/>
      <c r="D39" s="35"/>
      <c r="E39" s="22"/>
    </row>
    <row r="40" spans="1:5" x14ac:dyDescent="0.25">
      <c r="A40" s="34"/>
      <c r="B40" s="22"/>
      <c r="C40" s="22"/>
      <c r="D40" s="35"/>
      <c r="E40" s="22"/>
    </row>
    <row r="41" spans="1:5" x14ac:dyDescent="0.25">
      <c r="A41" s="34"/>
      <c r="B41" s="22"/>
      <c r="C41" s="22"/>
      <c r="D41" s="35"/>
      <c r="E41" s="22"/>
    </row>
    <row r="42" spans="1:5" x14ac:dyDescent="0.25">
      <c r="A42" s="34"/>
      <c r="B42" s="22"/>
      <c r="C42" s="22"/>
      <c r="D42" s="35"/>
      <c r="E42" s="22"/>
    </row>
    <row r="43" spans="1:5" x14ac:dyDescent="0.25">
      <c r="A43" s="34"/>
      <c r="B43" s="22"/>
      <c r="C43" s="22"/>
      <c r="D43" s="35"/>
      <c r="E43" s="22"/>
    </row>
    <row r="44" spans="1:5" x14ac:dyDescent="0.25">
      <c r="A44" s="34"/>
      <c r="B44" s="22"/>
      <c r="C44" s="22"/>
      <c r="D44" s="35"/>
      <c r="E44" s="22"/>
    </row>
    <row r="45" spans="1:5" x14ac:dyDescent="0.25">
      <c r="A45" s="43" t="s">
        <v>149</v>
      </c>
      <c r="B45" s="44"/>
      <c r="C45" s="44"/>
      <c r="D45" s="45"/>
      <c r="E45" s="2">
        <f>SUM(E5:E37)</f>
        <v>1729917763</v>
      </c>
    </row>
    <row r="46" spans="1:5" x14ac:dyDescent="0.25">
      <c r="A46" s="28"/>
      <c r="B46" s="29"/>
      <c r="C46" s="29"/>
      <c r="D46" s="29"/>
      <c r="E46" s="29"/>
    </row>
    <row r="47" spans="1:5" x14ac:dyDescent="0.25">
      <c r="A47" s="28"/>
      <c r="B47" s="29"/>
      <c r="C47" s="29"/>
      <c r="D47" s="29"/>
      <c r="E47" s="29"/>
    </row>
  </sheetData>
  <mergeCells count="6">
    <mergeCell ref="A2:E3"/>
    <mergeCell ref="E5:E6"/>
    <mergeCell ref="E8:E14"/>
    <mergeCell ref="E16:E23"/>
    <mergeCell ref="A45:D45"/>
    <mergeCell ref="E25:E37"/>
  </mergeCells>
  <pageMargins left="0.59055118110236227" right="0.19685039370078741" top="0.19685039370078741" bottom="0.19685039370078741" header="0.19685039370078741" footer="0.19685039370078741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0A25-29F9-470A-82BC-BFF1CC6C4CDF}">
  <dimension ref="A2:E41"/>
  <sheetViews>
    <sheetView workbookViewId="0">
      <pane ySplit="1515" topLeftCell="A12" activePane="bottomLeft"/>
      <selection activeCell="D4" sqref="D4"/>
      <selection pane="bottomLeft" activeCell="C33" sqref="C33"/>
    </sheetView>
  </sheetViews>
  <sheetFormatPr defaultRowHeight="15" x14ac:dyDescent="0.25"/>
  <cols>
    <col min="1" max="1" width="10.42578125" style="1" customWidth="1"/>
    <col min="2" max="2" width="22.140625" customWidth="1"/>
    <col min="3" max="3" width="36.5703125" customWidth="1"/>
    <col min="4" max="4" width="19" customWidth="1"/>
    <col min="5" max="5" width="16.5703125" bestFit="1" customWidth="1"/>
    <col min="9" max="10" width="14.28515625" bestFit="1" customWidth="1"/>
  </cols>
  <sheetData>
    <row r="2" spans="1:5" x14ac:dyDescent="0.25">
      <c r="A2" s="49" t="s">
        <v>133</v>
      </c>
      <c r="B2" s="49"/>
      <c r="C2" s="49"/>
      <c r="D2" s="49"/>
      <c r="E2" s="49"/>
    </row>
    <row r="3" spans="1:5" x14ac:dyDescent="0.25">
      <c r="A3" s="50"/>
      <c r="B3" s="50"/>
      <c r="C3" s="50"/>
      <c r="D3" s="50"/>
      <c r="E3" s="50"/>
    </row>
    <row r="4" spans="1:5" ht="15.75" x14ac:dyDescent="0.25">
      <c r="A4" s="3" t="s">
        <v>40</v>
      </c>
      <c r="B4" s="3" t="s">
        <v>41</v>
      </c>
      <c r="C4" s="3" t="s">
        <v>42</v>
      </c>
      <c r="D4" s="3" t="s">
        <v>102</v>
      </c>
      <c r="E4" s="3" t="s">
        <v>44</v>
      </c>
    </row>
    <row r="5" spans="1:5" x14ac:dyDescent="0.25">
      <c r="A5" s="4">
        <v>45680</v>
      </c>
      <c r="B5" s="4" t="s">
        <v>69</v>
      </c>
      <c r="C5" s="5" t="s">
        <v>70</v>
      </c>
      <c r="D5" s="6">
        <f>574810653-300000000</f>
        <v>274810653</v>
      </c>
      <c r="E5" s="51">
        <f>SUM(D5:D6)</f>
        <v>274810653</v>
      </c>
    </row>
    <row r="6" spans="1:5" x14ac:dyDescent="0.25">
      <c r="A6" s="4"/>
      <c r="B6" s="4"/>
      <c r="C6" s="5"/>
      <c r="D6" s="6"/>
      <c r="E6" s="47"/>
    </row>
    <row r="7" spans="1:5" x14ac:dyDescent="0.25">
      <c r="A7" s="10"/>
      <c r="B7" s="10"/>
      <c r="C7" s="11"/>
      <c r="D7" s="12"/>
      <c r="E7" s="13"/>
    </row>
    <row r="8" spans="1:5" x14ac:dyDescent="0.25">
      <c r="A8" s="41">
        <v>45842</v>
      </c>
      <c r="B8" s="22" t="s">
        <v>105</v>
      </c>
      <c r="C8" s="22" t="s">
        <v>2</v>
      </c>
      <c r="D8" s="38">
        <v>40071000</v>
      </c>
      <c r="E8" s="51">
        <f>SUM(D8:D14)</f>
        <v>172840770</v>
      </c>
    </row>
    <row r="9" spans="1:5" x14ac:dyDescent="0.25">
      <c r="A9" s="41">
        <v>45842</v>
      </c>
      <c r="B9" s="22" t="s">
        <v>106</v>
      </c>
      <c r="C9" s="22" t="s">
        <v>107</v>
      </c>
      <c r="D9" s="38">
        <v>12987000</v>
      </c>
      <c r="E9" s="47"/>
    </row>
    <row r="10" spans="1:5" x14ac:dyDescent="0.25">
      <c r="A10" s="41">
        <v>45842</v>
      </c>
      <c r="B10" s="22" t="s">
        <v>108</v>
      </c>
      <c r="C10" s="22" t="s">
        <v>2</v>
      </c>
      <c r="D10" s="38">
        <v>31468500</v>
      </c>
      <c r="E10" s="47"/>
    </row>
    <row r="11" spans="1:5" x14ac:dyDescent="0.25">
      <c r="A11" s="41">
        <v>45847</v>
      </c>
      <c r="B11" s="22" t="s">
        <v>109</v>
      </c>
      <c r="C11" s="22" t="s">
        <v>39</v>
      </c>
      <c r="D11" s="38">
        <v>15767550</v>
      </c>
      <c r="E11" s="47"/>
    </row>
    <row r="12" spans="1:5" x14ac:dyDescent="0.25">
      <c r="A12" s="41">
        <v>45856</v>
      </c>
      <c r="B12" s="22" t="s">
        <v>110</v>
      </c>
      <c r="C12" s="22" t="s">
        <v>2</v>
      </c>
      <c r="D12" s="38">
        <v>33966000</v>
      </c>
      <c r="E12" s="47"/>
    </row>
    <row r="13" spans="1:5" x14ac:dyDescent="0.25">
      <c r="A13" s="41">
        <v>45859</v>
      </c>
      <c r="B13" s="22" t="s">
        <v>113</v>
      </c>
      <c r="C13" s="22" t="s">
        <v>112</v>
      </c>
      <c r="D13" s="38">
        <v>10497720</v>
      </c>
      <c r="E13" s="47"/>
    </row>
    <row r="14" spans="1:5" x14ac:dyDescent="0.25">
      <c r="A14" s="41">
        <v>45861</v>
      </c>
      <c r="B14" s="22" t="s">
        <v>114</v>
      </c>
      <c r="C14" s="22" t="s">
        <v>115</v>
      </c>
      <c r="D14" s="38">
        <v>28083000</v>
      </c>
      <c r="E14" s="47"/>
    </row>
    <row r="15" spans="1:5" x14ac:dyDescent="0.25">
      <c r="A15" s="39"/>
      <c r="B15" s="19"/>
      <c r="C15" s="19"/>
      <c r="D15" s="40"/>
      <c r="E15" s="20"/>
    </row>
    <row r="16" spans="1:5" x14ac:dyDescent="0.25">
      <c r="A16" s="41">
        <v>45870</v>
      </c>
      <c r="B16" s="22" t="s">
        <v>116</v>
      </c>
      <c r="C16" s="22" t="s">
        <v>112</v>
      </c>
      <c r="D16" s="38">
        <v>5772000</v>
      </c>
      <c r="E16" s="51">
        <f>SUM(D16:D32)</f>
        <v>1916412701</v>
      </c>
    </row>
    <row r="17" spans="1:5" x14ac:dyDescent="0.25">
      <c r="A17" s="41">
        <v>45874</v>
      </c>
      <c r="B17" s="22" t="s">
        <v>117</v>
      </c>
      <c r="C17" s="22" t="s">
        <v>112</v>
      </c>
      <c r="D17" s="38">
        <v>21761828</v>
      </c>
      <c r="E17" s="47"/>
    </row>
    <row r="18" spans="1:5" x14ac:dyDescent="0.25">
      <c r="A18" s="41">
        <v>45874</v>
      </c>
      <c r="B18" s="22" t="s">
        <v>118</v>
      </c>
      <c r="C18" s="22" t="s">
        <v>2</v>
      </c>
      <c r="D18" s="38">
        <v>93406500</v>
      </c>
      <c r="E18" s="47"/>
    </row>
    <row r="19" spans="1:5" x14ac:dyDescent="0.25">
      <c r="A19" s="41">
        <v>45875</v>
      </c>
      <c r="B19" s="22" t="s">
        <v>119</v>
      </c>
      <c r="C19" s="22" t="s">
        <v>55</v>
      </c>
      <c r="D19" s="38">
        <v>71706000</v>
      </c>
      <c r="E19" s="47"/>
    </row>
    <row r="20" spans="1:5" x14ac:dyDescent="0.25">
      <c r="A20" s="41">
        <v>45875</v>
      </c>
      <c r="B20" s="22" t="s">
        <v>120</v>
      </c>
      <c r="C20" s="22" t="s">
        <v>55</v>
      </c>
      <c r="D20" s="38">
        <v>32634000</v>
      </c>
      <c r="E20" s="47"/>
    </row>
    <row r="21" spans="1:5" x14ac:dyDescent="0.25">
      <c r="A21" s="41">
        <v>45875</v>
      </c>
      <c r="B21" s="22" t="s">
        <v>121</v>
      </c>
      <c r="C21" s="22" t="s">
        <v>55</v>
      </c>
      <c r="D21" s="38">
        <v>200799000</v>
      </c>
      <c r="E21" s="47"/>
    </row>
    <row r="22" spans="1:5" x14ac:dyDescent="0.25">
      <c r="A22" s="41">
        <v>45875</v>
      </c>
      <c r="B22" s="22" t="s">
        <v>122</v>
      </c>
      <c r="C22" s="22" t="s">
        <v>55</v>
      </c>
      <c r="D22" s="38">
        <v>62937000</v>
      </c>
      <c r="E22" s="47"/>
    </row>
    <row r="23" spans="1:5" x14ac:dyDescent="0.25">
      <c r="A23" s="41">
        <v>45876</v>
      </c>
      <c r="B23" s="22" t="s">
        <v>123</v>
      </c>
      <c r="C23" s="22" t="s">
        <v>49</v>
      </c>
      <c r="D23" s="38">
        <v>348915735</v>
      </c>
      <c r="E23" s="47"/>
    </row>
    <row r="24" spans="1:5" x14ac:dyDescent="0.25">
      <c r="A24" s="41">
        <v>45877</v>
      </c>
      <c r="B24" s="22" t="s">
        <v>124</v>
      </c>
      <c r="C24" s="22" t="s">
        <v>3</v>
      </c>
      <c r="D24" s="38">
        <v>2114550</v>
      </c>
      <c r="E24" s="47"/>
    </row>
    <row r="25" spans="1:5" x14ac:dyDescent="0.25">
      <c r="A25" s="41">
        <v>45877</v>
      </c>
      <c r="B25" s="22" t="s">
        <v>125</v>
      </c>
      <c r="C25" s="22" t="s">
        <v>55</v>
      </c>
      <c r="D25" s="38">
        <v>28083000</v>
      </c>
      <c r="E25" s="47"/>
    </row>
    <row r="26" spans="1:5" x14ac:dyDescent="0.25">
      <c r="A26" s="41">
        <v>45881</v>
      </c>
      <c r="B26" s="22" t="s">
        <v>126</v>
      </c>
      <c r="C26" s="22" t="s">
        <v>112</v>
      </c>
      <c r="D26" s="38">
        <v>9780488</v>
      </c>
      <c r="E26" s="47"/>
    </row>
    <row r="27" spans="1:5" x14ac:dyDescent="0.25">
      <c r="A27" s="41">
        <v>45890</v>
      </c>
      <c r="B27" s="22" t="s">
        <v>127</v>
      </c>
      <c r="C27" s="22" t="s">
        <v>39</v>
      </c>
      <c r="D27" s="38">
        <v>26362500</v>
      </c>
      <c r="E27" s="47"/>
    </row>
    <row r="28" spans="1:5" x14ac:dyDescent="0.25">
      <c r="A28" s="41">
        <v>45890</v>
      </c>
      <c r="B28" s="22" t="s">
        <v>128</v>
      </c>
      <c r="C28" s="22" t="s">
        <v>55</v>
      </c>
      <c r="D28" s="38">
        <v>696980100</v>
      </c>
      <c r="E28" s="47"/>
    </row>
    <row r="29" spans="1:5" x14ac:dyDescent="0.25">
      <c r="A29" s="41">
        <v>45894</v>
      </c>
      <c r="B29" s="22" t="s">
        <v>129</v>
      </c>
      <c r="C29" s="22" t="s">
        <v>107</v>
      </c>
      <c r="D29" s="38">
        <v>12987000</v>
      </c>
      <c r="E29" s="47"/>
    </row>
    <row r="30" spans="1:5" x14ac:dyDescent="0.25">
      <c r="A30" s="21">
        <v>45896</v>
      </c>
      <c r="B30" s="36" t="s">
        <v>130</v>
      </c>
      <c r="C30" s="22" t="s">
        <v>27</v>
      </c>
      <c r="D30" s="38">
        <v>66067200</v>
      </c>
      <c r="E30" s="47"/>
    </row>
    <row r="31" spans="1:5" x14ac:dyDescent="0.25">
      <c r="A31" s="41">
        <v>45894</v>
      </c>
      <c r="B31" s="22" t="s">
        <v>131</v>
      </c>
      <c r="C31" s="22" t="s">
        <v>49</v>
      </c>
      <c r="D31" s="38">
        <v>235653000</v>
      </c>
      <c r="E31" s="47"/>
    </row>
    <row r="32" spans="1:5" x14ac:dyDescent="0.25">
      <c r="A32" s="41">
        <v>45897</v>
      </c>
      <c r="B32" s="22" t="s">
        <v>132</v>
      </c>
      <c r="C32" s="22" t="s">
        <v>32</v>
      </c>
      <c r="D32" s="38">
        <v>452800</v>
      </c>
      <c r="E32" s="48"/>
    </row>
    <row r="33" spans="1:5" x14ac:dyDescent="0.25">
      <c r="A33" s="39"/>
      <c r="B33" s="19"/>
      <c r="C33" s="19"/>
      <c r="D33" s="40"/>
      <c r="E33" s="20"/>
    </row>
    <row r="34" spans="1:5" x14ac:dyDescent="0.25">
      <c r="A34" s="34"/>
      <c r="B34" s="22"/>
      <c r="C34" s="22"/>
      <c r="D34" s="35"/>
      <c r="E34" s="22"/>
    </row>
    <row r="35" spans="1:5" x14ac:dyDescent="0.25">
      <c r="A35" s="34"/>
      <c r="B35" s="22"/>
      <c r="C35" s="22"/>
      <c r="D35" s="35"/>
      <c r="E35" s="22"/>
    </row>
    <row r="36" spans="1:5" x14ac:dyDescent="0.25">
      <c r="A36" s="34"/>
      <c r="B36" s="22"/>
      <c r="C36" s="22"/>
      <c r="D36" s="35"/>
      <c r="E36" s="22"/>
    </row>
    <row r="37" spans="1:5" x14ac:dyDescent="0.25">
      <c r="A37" s="34"/>
      <c r="B37" s="22"/>
      <c r="C37" s="22"/>
      <c r="D37" s="35"/>
      <c r="E37" s="22"/>
    </row>
    <row r="38" spans="1:5" x14ac:dyDescent="0.25">
      <c r="A38" s="34"/>
      <c r="B38" s="22"/>
      <c r="C38" s="22"/>
      <c r="D38" s="35"/>
      <c r="E38" s="22"/>
    </row>
    <row r="39" spans="1:5" x14ac:dyDescent="0.25">
      <c r="A39" s="43" t="s">
        <v>103</v>
      </c>
      <c r="B39" s="44"/>
      <c r="C39" s="44"/>
      <c r="D39" s="45"/>
      <c r="E39" s="2">
        <f>SUM(E5:E32)</f>
        <v>2364064124</v>
      </c>
    </row>
    <row r="40" spans="1:5" x14ac:dyDescent="0.25">
      <c r="A40" s="28"/>
      <c r="B40" s="29"/>
      <c r="C40" s="29"/>
      <c r="D40" s="29"/>
      <c r="E40" s="29"/>
    </row>
    <row r="41" spans="1:5" x14ac:dyDescent="0.25">
      <c r="A41" s="28"/>
      <c r="B41" s="29"/>
      <c r="C41" s="29"/>
      <c r="D41" s="29"/>
      <c r="E41" s="29"/>
    </row>
  </sheetData>
  <mergeCells count="5">
    <mergeCell ref="A2:E3"/>
    <mergeCell ref="E5:E6"/>
    <mergeCell ref="E8:E14"/>
    <mergeCell ref="E16:E32"/>
    <mergeCell ref="A39:D39"/>
  </mergeCells>
  <pageMargins left="0.59055118110236227" right="0.19685039370078741" top="0.19685039370078741" bottom="0.19685039370078741" header="0.19685039370078741" footer="0.19685039370078741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C559-8E8A-43DC-85EC-39E9BF1862C4}">
  <dimension ref="A2:E45"/>
  <sheetViews>
    <sheetView workbookViewId="0">
      <pane ySplit="1515" activePane="bottomLeft"/>
      <selection activeCell="D4" sqref="D4"/>
      <selection pane="bottomLeft" activeCell="D8" sqref="D8:D10"/>
    </sheetView>
  </sheetViews>
  <sheetFormatPr defaultRowHeight="15" x14ac:dyDescent="0.25"/>
  <cols>
    <col min="1" max="1" width="10.42578125" style="1" customWidth="1"/>
    <col min="2" max="2" width="22.140625" customWidth="1"/>
    <col min="3" max="3" width="36.5703125" customWidth="1"/>
    <col min="4" max="4" width="19" customWidth="1"/>
    <col min="5" max="5" width="16.5703125" bestFit="1" customWidth="1"/>
    <col min="9" max="10" width="14.28515625" bestFit="1" customWidth="1"/>
  </cols>
  <sheetData>
    <row r="2" spans="1:5" x14ac:dyDescent="0.25">
      <c r="A2" s="46" t="s">
        <v>111</v>
      </c>
      <c r="B2" s="46"/>
      <c r="C2" s="46"/>
      <c r="D2" s="46"/>
      <c r="E2" s="46"/>
    </row>
    <row r="3" spans="1:5" x14ac:dyDescent="0.25">
      <c r="A3" s="46"/>
      <c r="B3" s="46"/>
      <c r="C3" s="46"/>
      <c r="D3" s="46"/>
      <c r="E3" s="46"/>
    </row>
    <row r="4" spans="1:5" ht="15.75" x14ac:dyDescent="0.25">
      <c r="A4" s="3" t="s">
        <v>40</v>
      </c>
      <c r="B4" s="3" t="s">
        <v>41</v>
      </c>
      <c r="C4" s="3" t="s">
        <v>42</v>
      </c>
      <c r="D4" s="3" t="s">
        <v>102</v>
      </c>
      <c r="E4" s="3" t="s">
        <v>44</v>
      </c>
    </row>
    <row r="5" spans="1:5" x14ac:dyDescent="0.25">
      <c r="A5" s="4">
        <v>45680</v>
      </c>
      <c r="B5" s="4" t="s">
        <v>69</v>
      </c>
      <c r="C5" s="5" t="s">
        <v>70</v>
      </c>
      <c r="D5" s="6">
        <f>574810653-300000000</f>
        <v>274810653</v>
      </c>
      <c r="E5" s="51">
        <f>SUM(D5:D6)</f>
        <v>274810653</v>
      </c>
    </row>
    <row r="6" spans="1:5" x14ac:dyDescent="0.25">
      <c r="A6" s="4"/>
      <c r="B6" s="4"/>
      <c r="C6" s="5"/>
      <c r="D6" s="6"/>
      <c r="E6" s="47"/>
    </row>
    <row r="7" spans="1:5" x14ac:dyDescent="0.25">
      <c r="A7" s="10"/>
      <c r="B7" s="10"/>
      <c r="C7" s="11"/>
      <c r="D7" s="12"/>
      <c r="E7" s="13"/>
    </row>
    <row r="8" spans="1:5" x14ac:dyDescent="0.25">
      <c r="A8" s="7">
        <v>45712</v>
      </c>
      <c r="B8" s="7" t="s">
        <v>71</v>
      </c>
      <c r="C8" s="8" t="s">
        <v>11</v>
      </c>
      <c r="D8" s="23">
        <v>28998750</v>
      </c>
      <c r="E8" s="51">
        <f>SUM(D8:D10)</f>
        <v>66960750</v>
      </c>
    </row>
    <row r="9" spans="1:5" x14ac:dyDescent="0.25">
      <c r="A9" s="4">
        <v>45712</v>
      </c>
      <c r="B9" s="4" t="s">
        <v>72</v>
      </c>
      <c r="C9" s="5" t="s">
        <v>11</v>
      </c>
      <c r="D9" s="6">
        <v>37962000</v>
      </c>
      <c r="E9" s="47"/>
    </row>
    <row r="10" spans="1:5" x14ac:dyDescent="0.25">
      <c r="A10" s="7"/>
      <c r="B10" s="7"/>
      <c r="C10" s="8"/>
      <c r="D10" s="9"/>
      <c r="E10" s="48"/>
    </row>
    <row r="11" spans="1:5" x14ac:dyDescent="0.25">
      <c r="A11" s="14"/>
      <c r="B11" s="14"/>
      <c r="C11" s="15"/>
      <c r="D11" s="12"/>
      <c r="E11" s="13"/>
    </row>
    <row r="12" spans="1:5" x14ac:dyDescent="0.25">
      <c r="A12" s="41">
        <v>45842</v>
      </c>
      <c r="B12" s="22" t="s">
        <v>105</v>
      </c>
      <c r="C12" s="22" t="s">
        <v>2</v>
      </c>
      <c r="D12" s="38">
        <v>40071000</v>
      </c>
      <c r="E12" s="51">
        <f>SUM(D12:D18)</f>
        <v>172840770</v>
      </c>
    </row>
    <row r="13" spans="1:5" x14ac:dyDescent="0.25">
      <c r="A13" s="41">
        <v>45842</v>
      </c>
      <c r="B13" s="22" t="s">
        <v>106</v>
      </c>
      <c r="C13" s="22" t="s">
        <v>107</v>
      </c>
      <c r="D13" s="38">
        <v>12987000</v>
      </c>
      <c r="E13" s="47"/>
    </row>
    <row r="14" spans="1:5" x14ac:dyDescent="0.25">
      <c r="A14" s="41">
        <v>45842</v>
      </c>
      <c r="B14" s="22" t="s">
        <v>108</v>
      </c>
      <c r="C14" s="22" t="s">
        <v>2</v>
      </c>
      <c r="D14" s="38">
        <v>31468500</v>
      </c>
      <c r="E14" s="47"/>
    </row>
    <row r="15" spans="1:5" x14ac:dyDescent="0.25">
      <c r="A15" s="41">
        <v>45847</v>
      </c>
      <c r="B15" s="22" t="s">
        <v>109</v>
      </c>
      <c r="C15" s="22" t="s">
        <v>39</v>
      </c>
      <c r="D15" s="38">
        <v>15767550</v>
      </c>
      <c r="E15" s="47"/>
    </row>
    <row r="16" spans="1:5" x14ac:dyDescent="0.25">
      <c r="A16" s="41">
        <v>45856</v>
      </c>
      <c r="B16" s="22" t="s">
        <v>110</v>
      </c>
      <c r="C16" s="22" t="s">
        <v>2</v>
      </c>
      <c r="D16" s="38">
        <v>33966000</v>
      </c>
      <c r="E16" s="47"/>
    </row>
    <row r="17" spans="1:5" x14ac:dyDescent="0.25">
      <c r="A17" s="41">
        <v>45859</v>
      </c>
      <c r="B17" s="22" t="s">
        <v>113</v>
      </c>
      <c r="C17" s="22" t="s">
        <v>112</v>
      </c>
      <c r="D17" s="38">
        <v>10497720</v>
      </c>
      <c r="E17" s="47"/>
    </row>
    <row r="18" spans="1:5" x14ac:dyDescent="0.25">
      <c r="A18" s="41">
        <v>45861</v>
      </c>
      <c r="B18" s="22" t="s">
        <v>114</v>
      </c>
      <c r="C18" s="22" t="s">
        <v>115</v>
      </c>
      <c r="D18" s="38">
        <v>28083000</v>
      </c>
      <c r="E18" s="47"/>
    </row>
    <row r="19" spans="1:5" x14ac:dyDescent="0.25">
      <c r="A19" s="39"/>
      <c r="B19" s="19"/>
      <c r="C19" s="19"/>
      <c r="D19" s="40"/>
      <c r="E19" s="20"/>
    </row>
    <row r="20" spans="1:5" x14ac:dyDescent="0.25">
      <c r="A20" s="41">
        <v>45870</v>
      </c>
      <c r="B20" s="22" t="s">
        <v>116</v>
      </c>
      <c r="C20" s="22" t="s">
        <v>112</v>
      </c>
      <c r="D20" s="38">
        <v>5772000</v>
      </c>
      <c r="E20" s="51">
        <f>SUM(D20:D36)</f>
        <v>1916412701</v>
      </c>
    </row>
    <row r="21" spans="1:5" x14ac:dyDescent="0.25">
      <c r="A21" s="41">
        <v>45874</v>
      </c>
      <c r="B21" s="22" t="s">
        <v>117</v>
      </c>
      <c r="C21" s="22" t="s">
        <v>112</v>
      </c>
      <c r="D21" s="38">
        <v>21761828</v>
      </c>
      <c r="E21" s="47"/>
    </row>
    <row r="22" spans="1:5" x14ac:dyDescent="0.25">
      <c r="A22" s="41">
        <v>45874</v>
      </c>
      <c r="B22" s="22" t="s">
        <v>118</v>
      </c>
      <c r="C22" s="22" t="s">
        <v>2</v>
      </c>
      <c r="D22" s="38">
        <v>93406500</v>
      </c>
      <c r="E22" s="47"/>
    </row>
    <row r="23" spans="1:5" x14ac:dyDescent="0.25">
      <c r="A23" s="41">
        <v>45875</v>
      </c>
      <c r="B23" s="22" t="s">
        <v>119</v>
      </c>
      <c r="C23" s="22" t="s">
        <v>55</v>
      </c>
      <c r="D23" s="38">
        <v>71706000</v>
      </c>
      <c r="E23" s="47"/>
    </row>
    <row r="24" spans="1:5" x14ac:dyDescent="0.25">
      <c r="A24" s="41">
        <v>45875</v>
      </c>
      <c r="B24" s="22" t="s">
        <v>120</v>
      </c>
      <c r="C24" s="22" t="s">
        <v>55</v>
      </c>
      <c r="D24" s="38">
        <v>32634000</v>
      </c>
      <c r="E24" s="47"/>
    </row>
    <row r="25" spans="1:5" x14ac:dyDescent="0.25">
      <c r="A25" s="41">
        <v>45875</v>
      </c>
      <c r="B25" s="22" t="s">
        <v>121</v>
      </c>
      <c r="C25" s="22" t="s">
        <v>55</v>
      </c>
      <c r="D25" s="38">
        <v>200799000</v>
      </c>
      <c r="E25" s="47"/>
    </row>
    <row r="26" spans="1:5" x14ac:dyDescent="0.25">
      <c r="A26" s="41">
        <v>45875</v>
      </c>
      <c r="B26" s="22" t="s">
        <v>122</v>
      </c>
      <c r="C26" s="22" t="s">
        <v>55</v>
      </c>
      <c r="D26" s="38">
        <v>62937000</v>
      </c>
      <c r="E26" s="47"/>
    </row>
    <row r="27" spans="1:5" x14ac:dyDescent="0.25">
      <c r="A27" s="41">
        <v>45876</v>
      </c>
      <c r="B27" s="22" t="s">
        <v>123</v>
      </c>
      <c r="C27" s="22" t="s">
        <v>49</v>
      </c>
      <c r="D27" s="38">
        <v>348915735</v>
      </c>
      <c r="E27" s="47"/>
    </row>
    <row r="28" spans="1:5" x14ac:dyDescent="0.25">
      <c r="A28" s="41">
        <v>45877</v>
      </c>
      <c r="B28" s="22" t="s">
        <v>124</v>
      </c>
      <c r="C28" s="22" t="s">
        <v>3</v>
      </c>
      <c r="D28" s="38">
        <v>2114550</v>
      </c>
      <c r="E28" s="47"/>
    </row>
    <row r="29" spans="1:5" x14ac:dyDescent="0.25">
      <c r="A29" s="41">
        <v>45877</v>
      </c>
      <c r="B29" s="22" t="s">
        <v>125</v>
      </c>
      <c r="C29" s="22" t="s">
        <v>55</v>
      </c>
      <c r="D29" s="38">
        <v>28083000</v>
      </c>
      <c r="E29" s="47"/>
    </row>
    <row r="30" spans="1:5" x14ac:dyDescent="0.25">
      <c r="A30" s="41">
        <v>45881</v>
      </c>
      <c r="B30" s="22" t="s">
        <v>126</v>
      </c>
      <c r="C30" s="22" t="s">
        <v>112</v>
      </c>
      <c r="D30" s="38">
        <v>9780488</v>
      </c>
      <c r="E30" s="47"/>
    </row>
    <row r="31" spans="1:5" x14ac:dyDescent="0.25">
      <c r="A31" s="41">
        <v>45890</v>
      </c>
      <c r="B31" s="22" t="s">
        <v>127</v>
      </c>
      <c r="C31" s="22" t="s">
        <v>39</v>
      </c>
      <c r="D31" s="38">
        <v>26362500</v>
      </c>
      <c r="E31" s="47"/>
    </row>
    <row r="32" spans="1:5" x14ac:dyDescent="0.25">
      <c r="A32" s="41">
        <v>45890</v>
      </c>
      <c r="B32" s="22" t="s">
        <v>128</v>
      </c>
      <c r="C32" s="22" t="s">
        <v>55</v>
      </c>
      <c r="D32" s="38">
        <v>696980100</v>
      </c>
      <c r="E32" s="47"/>
    </row>
    <row r="33" spans="1:5" x14ac:dyDescent="0.25">
      <c r="A33" s="41">
        <v>45894</v>
      </c>
      <c r="B33" s="22" t="s">
        <v>129</v>
      </c>
      <c r="C33" s="22" t="s">
        <v>107</v>
      </c>
      <c r="D33" s="38">
        <v>12987000</v>
      </c>
      <c r="E33" s="47"/>
    </row>
    <row r="34" spans="1:5" x14ac:dyDescent="0.25">
      <c r="A34" s="21">
        <v>45896</v>
      </c>
      <c r="B34" s="36" t="s">
        <v>130</v>
      </c>
      <c r="C34" s="22" t="s">
        <v>27</v>
      </c>
      <c r="D34" s="38">
        <v>66067200</v>
      </c>
      <c r="E34" s="47"/>
    </row>
    <row r="35" spans="1:5" x14ac:dyDescent="0.25">
      <c r="A35" s="41">
        <v>45894</v>
      </c>
      <c r="B35" s="22" t="s">
        <v>131</v>
      </c>
      <c r="C35" s="22" t="s">
        <v>49</v>
      </c>
      <c r="D35" s="38">
        <v>235653000</v>
      </c>
      <c r="E35" s="47"/>
    </row>
    <row r="36" spans="1:5" x14ac:dyDescent="0.25">
      <c r="A36" s="41">
        <v>45897</v>
      </c>
      <c r="B36" s="22" t="s">
        <v>132</v>
      </c>
      <c r="C36" s="22" t="s">
        <v>32</v>
      </c>
      <c r="D36" s="38">
        <v>452800</v>
      </c>
      <c r="E36" s="48"/>
    </row>
    <row r="37" spans="1:5" x14ac:dyDescent="0.25">
      <c r="A37" s="39"/>
      <c r="B37" s="19"/>
      <c r="C37" s="19"/>
      <c r="D37" s="40"/>
      <c r="E37" s="20"/>
    </row>
    <row r="38" spans="1:5" x14ac:dyDescent="0.25">
      <c r="A38" s="34"/>
      <c r="B38" s="22"/>
      <c r="C38" s="22"/>
      <c r="D38" s="35"/>
      <c r="E38" s="22"/>
    </row>
    <row r="39" spans="1:5" x14ac:dyDescent="0.25">
      <c r="A39" s="34"/>
      <c r="B39" s="22"/>
      <c r="C39" s="22"/>
      <c r="D39" s="35"/>
      <c r="E39" s="22"/>
    </row>
    <row r="40" spans="1:5" x14ac:dyDescent="0.25">
      <c r="A40" s="34"/>
      <c r="B40" s="22"/>
      <c r="C40" s="22"/>
      <c r="D40" s="35"/>
      <c r="E40" s="22"/>
    </row>
    <row r="41" spans="1:5" x14ac:dyDescent="0.25">
      <c r="A41" s="34"/>
      <c r="B41" s="22"/>
      <c r="C41" s="22"/>
      <c r="D41" s="35"/>
      <c r="E41" s="22"/>
    </row>
    <row r="42" spans="1:5" x14ac:dyDescent="0.25">
      <c r="A42" s="34"/>
      <c r="B42" s="22"/>
      <c r="C42" s="22"/>
      <c r="D42" s="35"/>
      <c r="E42" s="22"/>
    </row>
    <row r="43" spans="1:5" x14ac:dyDescent="0.25">
      <c r="A43" s="43" t="s">
        <v>103</v>
      </c>
      <c r="B43" s="44"/>
      <c r="C43" s="44"/>
      <c r="D43" s="45"/>
      <c r="E43" s="2">
        <f>SUM(E5:E36)</f>
        <v>2431024874</v>
      </c>
    </row>
    <row r="44" spans="1:5" x14ac:dyDescent="0.25">
      <c r="A44" s="28"/>
      <c r="B44" s="29"/>
      <c r="C44" s="29"/>
      <c r="D44" s="29"/>
      <c r="E44" s="29"/>
    </row>
    <row r="45" spans="1:5" x14ac:dyDescent="0.25">
      <c r="A45" s="28"/>
      <c r="B45" s="29"/>
      <c r="C45" s="29"/>
      <c r="D45" s="29"/>
      <c r="E45" s="29"/>
    </row>
  </sheetData>
  <mergeCells count="6">
    <mergeCell ref="A43:D43"/>
    <mergeCell ref="E20:E36"/>
    <mergeCell ref="A2:E3"/>
    <mergeCell ref="E5:E6"/>
    <mergeCell ref="E8:E10"/>
    <mergeCell ref="E12:E18"/>
  </mergeCells>
  <pageMargins left="0.59055118110236227" right="0.19685039370078741" top="0.19685039370078741" bottom="0.19685039370078741" header="0.19685039370078741" footer="0.19685039370078741"/>
  <pageSetup paperSize="9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A7DB-990F-411D-8ABD-3994EF564DD6}">
  <dimension ref="A2:E63"/>
  <sheetViews>
    <sheetView workbookViewId="0">
      <pane ySplit="1515" topLeftCell="A12" activePane="bottomLeft"/>
      <selection activeCell="D4" sqref="D4"/>
      <selection pane="bottomLeft" activeCell="A4" sqref="A4"/>
    </sheetView>
  </sheetViews>
  <sheetFormatPr defaultRowHeight="15" x14ac:dyDescent="0.25"/>
  <cols>
    <col min="1" max="1" width="10.42578125" style="1" customWidth="1"/>
    <col min="2" max="2" width="22.140625" customWidth="1"/>
    <col min="3" max="3" width="36.5703125" customWidth="1"/>
    <col min="4" max="4" width="19" customWidth="1"/>
    <col min="5" max="5" width="16.5703125" bestFit="1" customWidth="1"/>
    <col min="9" max="10" width="14.28515625" bestFit="1" customWidth="1"/>
  </cols>
  <sheetData>
    <row r="2" spans="1:5" x14ac:dyDescent="0.25">
      <c r="A2" s="46" t="s">
        <v>111</v>
      </c>
      <c r="B2" s="46"/>
      <c r="C2" s="46"/>
      <c r="D2" s="46"/>
      <c r="E2" s="46"/>
    </row>
    <row r="3" spans="1:5" x14ac:dyDescent="0.25">
      <c r="A3" s="46"/>
      <c r="B3" s="46"/>
      <c r="C3" s="46"/>
      <c r="D3" s="46"/>
      <c r="E3" s="46"/>
    </row>
    <row r="4" spans="1:5" ht="15.75" x14ac:dyDescent="0.25">
      <c r="A4" s="3" t="s">
        <v>40</v>
      </c>
      <c r="B4" s="3" t="s">
        <v>41</v>
      </c>
      <c r="C4" s="3" t="s">
        <v>42</v>
      </c>
      <c r="D4" s="3" t="s">
        <v>102</v>
      </c>
      <c r="E4" s="3" t="s">
        <v>44</v>
      </c>
    </row>
    <row r="5" spans="1:5" x14ac:dyDescent="0.25">
      <c r="A5" s="4">
        <v>45680</v>
      </c>
      <c r="B5" s="4" t="s">
        <v>69</v>
      </c>
      <c r="C5" s="5" t="s">
        <v>70</v>
      </c>
      <c r="D5" s="6">
        <v>574810653</v>
      </c>
      <c r="E5" s="51">
        <f>SUM(D5:D6)</f>
        <v>574810653</v>
      </c>
    </row>
    <row r="6" spans="1:5" x14ac:dyDescent="0.25">
      <c r="A6" s="4"/>
      <c r="B6" s="4"/>
      <c r="C6" s="5"/>
      <c r="D6" s="6"/>
      <c r="E6" s="47"/>
    </row>
    <row r="7" spans="1:5" x14ac:dyDescent="0.25">
      <c r="A7" s="10"/>
      <c r="B7" s="10"/>
      <c r="C7" s="11"/>
      <c r="D7" s="12"/>
      <c r="E7" s="13"/>
    </row>
    <row r="8" spans="1:5" x14ac:dyDescent="0.25">
      <c r="A8" s="7">
        <v>45712</v>
      </c>
      <c r="B8" s="7" t="s">
        <v>71</v>
      </c>
      <c r="C8" s="8" t="s">
        <v>11</v>
      </c>
      <c r="D8" s="23">
        <v>28998750</v>
      </c>
      <c r="E8" s="51">
        <f>SUM(D8:D10)</f>
        <v>66960750</v>
      </c>
    </row>
    <row r="9" spans="1:5" x14ac:dyDescent="0.25">
      <c r="A9" s="4">
        <v>45712</v>
      </c>
      <c r="B9" s="4" t="s">
        <v>72</v>
      </c>
      <c r="C9" s="5" t="s">
        <v>11</v>
      </c>
      <c r="D9" s="6">
        <v>37962000</v>
      </c>
      <c r="E9" s="47"/>
    </row>
    <row r="10" spans="1:5" x14ac:dyDescent="0.25">
      <c r="A10" s="7"/>
      <c r="B10" s="7"/>
      <c r="C10" s="8"/>
      <c r="D10" s="9"/>
      <c r="E10" s="48"/>
    </row>
    <row r="11" spans="1:5" x14ac:dyDescent="0.25">
      <c r="A11" s="14"/>
      <c r="B11" s="14"/>
      <c r="C11" s="15"/>
      <c r="D11" s="12"/>
      <c r="E11" s="13"/>
    </row>
    <row r="12" spans="1:5" x14ac:dyDescent="0.25">
      <c r="A12" s="21">
        <v>45790</v>
      </c>
      <c r="B12" s="22" t="s">
        <v>81</v>
      </c>
      <c r="C12" s="22" t="s">
        <v>2</v>
      </c>
      <c r="D12" s="6">
        <v>33216750</v>
      </c>
      <c r="E12" s="47">
        <f>SUM(D12:D18)</f>
        <v>1493091250</v>
      </c>
    </row>
    <row r="13" spans="1:5" x14ac:dyDescent="0.25">
      <c r="A13" s="21">
        <v>45790</v>
      </c>
      <c r="B13" s="22" t="s">
        <v>82</v>
      </c>
      <c r="C13" s="22" t="s">
        <v>39</v>
      </c>
      <c r="D13" s="6">
        <v>15817500</v>
      </c>
      <c r="E13" s="47"/>
    </row>
    <row r="14" spans="1:5" x14ac:dyDescent="0.25">
      <c r="A14" s="21">
        <v>45790</v>
      </c>
      <c r="B14" s="22" t="s">
        <v>83</v>
      </c>
      <c r="C14" s="22" t="s">
        <v>32</v>
      </c>
      <c r="D14" s="6">
        <v>418750000</v>
      </c>
      <c r="E14" s="47"/>
    </row>
    <row r="15" spans="1:5" x14ac:dyDescent="0.25">
      <c r="A15" s="21">
        <v>45790</v>
      </c>
      <c r="B15" s="22" t="s">
        <v>84</v>
      </c>
      <c r="C15" s="22" t="s">
        <v>32</v>
      </c>
      <c r="D15" s="6">
        <v>473970000</v>
      </c>
      <c r="E15" s="47"/>
    </row>
    <row r="16" spans="1:5" x14ac:dyDescent="0.25">
      <c r="A16" s="21">
        <v>45790</v>
      </c>
      <c r="B16" s="22" t="s">
        <v>85</v>
      </c>
      <c r="C16" s="22" t="s">
        <v>32</v>
      </c>
      <c r="D16" s="6">
        <v>139860000</v>
      </c>
      <c r="E16" s="47"/>
    </row>
    <row r="17" spans="1:5" x14ac:dyDescent="0.25">
      <c r="A17" s="21">
        <v>45790</v>
      </c>
      <c r="B17" s="22" t="s">
        <v>86</v>
      </c>
      <c r="C17" s="22" t="s">
        <v>32</v>
      </c>
      <c r="D17" s="6">
        <v>258630000</v>
      </c>
      <c r="E17" s="47"/>
    </row>
    <row r="18" spans="1:5" x14ac:dyDescent="0.25">
      <c r="A18" s="21">
        <v>45793</v>
      </c>
      <c r="B18" s="22" t="s">
        <v>87</v>
      </c>
      <c r="C18" s="22" t="s">
        <v>2</v>
      </c>
      <c r="D18" s="6">
        <v>152847000</v>
      </c>
      <c r="E18" s="47"/>
    </row>
    <row r="19" spans="1:5" x14ac:dyDescent="0.25">
      <c r="A19" s="18"/>
      <c r="B19" s="19"/>
      <c r="C19" s="19"/>
      <c r="D19" s="20"/>
      <c r="E19" s="20"/>
    </row>
    <row r="20" spans="1:5" x14ac:dyDescent="0.25">
      <c r="A20" s="21">
        <v>45811</v>
      </c>
      <c r="B20" s="22" t="s">
        <v>90</v>
      </c>
      <c r="C20" s="22" t="s">
        <v>21</v>
      </c>
      <c r="D20" s="37">
        <v>44538750</v>
      </c>
      <c r="E20" s="51">
        <f>SUM(D20:D30)</f>
        <v>169459260</v>
      </c>
    </row>
    <row r="21" spans="1:5" x14ac:dyDescent="0.25">
      <c r="A21" s="21">
        <v>45811</v>
      </c>
      <c r="B21" s="36" t="s">
        <v>91</v>
      </c>
      <c r="C21" s="22" t="s">
        <v>55</v>
      </c>
      <c r="D21" s="38">
        <v>2808300</v>
      </c>
      <c r="E21" s="52"/>
    </row>
    <row r="22" spans="1:5" x14ac:dyDescent="0.25">
      <c r="A22" s="21">
        <v>45812</v>
      </c>
      <c r="B22" s="36" t="s">
        <v>92</v>
      </c>
      <c r="C22" s="22" t="s">
        <v>55</v>
      </c>
      <c r="D22" s="38">
        <v>1387500</v>
      </c>
      <c r="E22" s="52"/>
    </row>
    <row r="23" spans="1:5" x14ac:dyDescent="0.25">
      <c r="A23" s="21">
        <v>45818</v>
      </c>
      <c r="B23" s="36" t="s">
        <v>95</v>
      </c>
      <c r="C23" s="22" t="s">
        <v>39</v>
      </c>
      <c r="D23" s="38">
        <v>15817500</v>
      </c>
      <c r="E23" s="52"/>
    </row>
    <row r="24" spans="1:5" x14ac:dyDescent="0.25">
      <c r="A24" s="21">
        <v>45820</v>
      </c>
      <c r="B24" s="36" t="s">
        <v>96</v>
      </c>
      <c r="C24" s="22" t="s">
        <v>2</v>
      </c>
      <c r="D24" s="38">
        <v>9230760</v>
      </c>
      <c r="E24" s="52"/>
    </row>
    <row r="25" spans="1:5" x14ac:dyDescent="0.25">
      <c r="A25" s="21">
        <v>45820</v>
      </c>
      <c r="B25" s="36" t="s">
        <v>97</v>
      </c>
      <c r="C25" s="22" t="s">
        <v>2</v>
      </c>
      <c r="D25" s="38">
        <v>31468500</v>
      </c>
      <c r="E25" s="52"/>
    </row>
    <row r="26" spans="1:5" x14ac:dyDescent="0.25">
      <c r="A26" s="21">
        <v>45824</v>
      </c>
      <c r="B26" s="36" t="s">
        <v>98</v>
      </c>
      <c r="C26" s="22" t="s">
        <v>32</v>
      </c>
      <c r="D26" s="38">
        <v>30090435</v>
      </c>
      <c r="E26" s="52"/>
    </row>
    <row r="27" spans="1:5" x14ac:dyDescent="0.25">
      <c r="A27" s="21">
        <v>45825</v>
      </c>
      <c r="B27" s="36" t="s">
        <v>100</v>
      </c>
      <c r="C27" s="22" t="s">
        <v>32</v>
      </c>
      <c r="D27" s="38">
        <v>1739925</v>
      </c>
      <c r="E27" s="52"/>
    </row>
    <row r="28" spans="1:5" x14ac:dyDescent="0.25">
      <c r="A28" s="21">
        <v>45824</v>
      </c>
      <c r="B28" s="36" t="s">
        <v>99</v>
      </c>
      <c r="C28" s="22" t="s">
        <v>32</v>
      </c>
      <c r="D28" s="38">
        <v>24531000</v>
      </c>
      <c r="E28" s="52"/>
    </row>
    <row r="29" spans="1:5" x14ac:dyDescent="0.25">
      <c r="A29" s="21">
        <v>45825</v>
      </c>
      <c r="B29" s="36" t="s">
        <v>101</v>
      </c>
      <c r="C29" s="22" t="s">
        <v>32</v>
      </c>
      <c r="D29" s="38">
        <v>7846590</v>
      </c>
      <c r="E29" s="52"/>
    </row>
    <row r="30" spans="1:5" x14ac:dyDescent="0.25">
      <c r="A30" s="21"/>
      <c r="B30" s="36"/>
      <c r="C30" s="22"/>
      <c r="D30" s="38"/>
      <c r="E30" s="53"/>
    </row>
    <row r="31" spans="1:5" x14ac:dyDescent="0.25">
      <c r="A31" s="18"/>
      <c r="B31" s="19"/>
      <c r="C31" s="19"/>
      <c r="D31" s="20"/>
      <c r="E31" s="20"/>
    </row>
    <row r="32" spans="1:5" x14ac:dyDescent="0.25">
      <c r="A32" s="41">
        <v>45839</v>
      </c>
      <c r="B32" s="36" t="s">
        <v>104</v>
      </c>
      <c r="C32" s="22" t="s">
        <v>80</v>
      </c>
      <c r="D32" s="38">
        <v>89090820</v>
      </c>
      <c r="E32" s="51">
        <f>SUM(D32:D45)</f>
        <v>223350870</v>
      </c>
    </row>
    <row r="33" spans="1:5" x14ac:dyDescent="0.25">
      <c r="A33" s="41">
        <v>45842</v>
      </c>
      <c r="B33" s="22" t="s">
        <v>105</v>
      </c>
      <c r="C33" s="22" t="s">
        <v>2</v>
      </c>
      <c r="D33" s="38">
        <v>40071000</v>
      </c>
      <c r="E33" s="47"/>
    </row>
    <row r="34" spans="1:5" x14ac:dyDescent="0.25">
      <c r="A34" s="41">
        <v>45842</v>
      </c>
      <c r="B34" s="22" t="s">
        <v>106</v>
      </c>
      <c r="C34" s="22" t="s">
        <v>107</v>
      </c>
      <c r="D34" s="38">
        <v>12987000</v>
      </c>
      <c r="E34" s="47"/>
    </row>
    <row r="35" spans="1:5" x14ac:dyDescent="0.25">
      <c r="A35" s="41">
        <v>45842</v>
      </c>
      <c r="B35" s="22" t="s">
        <v>108</v>
      </c>
      <c r="C35" s="22" t="s">
        <v>2</v>
      </c>
      <c r="D35" s="38">
        <v>31468500</v>
      </c>
      <c r="E35" s="47"/>
    </row>
    <row r="36" spans="1:5" x14ac:dyDescent="0.25">
      <c r="A36" s="41">
        <v>45847</v>
      </c>
      <c r="B36" s="22" t="s">
        <v>109</v>
      </c>
      <c r="C36" s="22" t="s">
        <v>39</v>
      </c>
      <c r="D36" s="38">
        <v>15767550</v>
      </c>
      <c r="E36" s="47"/>
    </row>
    <row r="37" spans="1:5" x14ac:dyDescent="0.25">
      <c r="A37" s="41">
        <v>45856</v>
      </c>
      <c r="B37" s="22" t="s">
        <v>110</v>
      </c>
      <c r="C37" s="22" t="s">
        <v>2</v>
      </c>
      <c r="D37" s="38">
        <v>33966000</v>
      </c>
      <c r="E37" s="47"/>
    </row>
    <row r="38" spans="1:5" x14ac:dyDescent="0.25">
      <c r="A38" s="41"/>
      <c r="B38" s="22"/>
      <c r="C38" s="22"/>
      <c r="D38" s="38"/>
      <c r="E38" s="47"/>
    </row>
    <row r="39" spans="1:5" x14ac:dyDescent="0.25">
      <c r="A39" s="41"/>
      <c r="B39" s="22"/>
      <c r="C39" s="22"/>
      <c r="D39" s="38"/>
      <c r="E39" s="47"/>
    </row>
    <row r="40" spans="1:5" x14ac:dyDescent="0.25">
      <c r="A40" s="41"/>
      <c r="B40" s="22"/>
      <c r="C40" s="22"/>
      <c r="D40" s="38"/>
      <c r="E40" s="47"/>
    </row>
    <row r="41" spans="1:5" x14ac:dyDescent="0.25">
      <c r="A41" s="41"/>
      <c r="B41" s="22"/>
      <c r="C41" s="22"/>
      <c r="D41" s="38"/>
      <c r="E41" s="47"/>
    </row>
    <row r="42" spans="1:5" x14ac:dyDescent="0.25">
      <c r="A42" s="41"/>
      <c r="B42" s="22"/>
      <c r="C42" s="22"/>
      <c r="D42" s="38"/>
      <c r="E42" s="47"/>
    </row>
    <row r="43" spans="1:5" x14ac:dyDescent="0.25">
      <c r="A43" s="34"/>
      <c r="B43" s="22"/>
      <c r="C43" s="22"/>
      <c r="D43" s="38"/>
      <c r="E43" s="47"/>
    </row>
    <row r="44" spans="1:5" x14ac:dyDescent="0.25">
      <c r="A44" s="34"/>
      <c r="B44" s="22"/>
      <c r="C44" s="22"/>
      <c r="D44" s="38"/>
      <c r="E44" s="47"/>
    </row>
    <row r="45" spans="1:5" x14ac:dyDescent="0.25">
      <c r="A45" s="34"/>
      <c r="B45" s="22"/>
      <c r="C45" s="22"/>
      <c r="D45" s="38"/>
      <c r="E45" s="48"/>
    </row>
    <row r="46" spans="1:5" x14ac:dyDescent="0.25">
      <c r="A46" s="39"/>
      <c r="B46" s="19"/>
      <c r="C46" s="19"/>
      <c r="D46" s="40"/>
      <c r="E46" s="20"/>
    </row>
    <row r="47" spans="1:5" x14ac:dyDescent="0.25">
      <c r="A47" s="34"/>
      <c r="B47" s="22"/>
      <c r="C47" s="22"/>
      <c r="D47" s="38"/>
      <c r="E47" s="37"/>
    </row>
    <row r="48" spans="1:5" x14ac:dyDescent="0.25">
      <c r="A48" s="34"/>
      <c r="B48" s="22"/>
      <c r="C48" s="22"/>
      <c r="D48" s="38"/>
      <c r="E48" s="37"/>
    </row>
    <row r="49" spans="1:5" x14ac:dyDescent="0.25">
      <c r="A49" s="34"/>
      <c r="B49" s="22"/>
      <c r="C49" s="22"/>
      <c r="D49" s="38"/>
      <c r="E49" s="37"/>
    </row>
    <row r="50" spans="1:5" x14ac:dyDescent="0.25">
      <c r="A50" s="34"/>
      <c r="B50" s="22"/>
      <c r="C50" s="22"/>
      <c r="D50" s="38"/>
      <c r="E50" s="37"/>
    </row>
    <row r="51" spans="1:5" x14ac:dyDescent="0.25">
      <c r="A51" s="34"/>
      <c r="B51" s="22"/>
      <c r="C51" s="22"/>
      <c r="D51" s="38"/>
      <c r="E51" s="37"/>
    </row>
    <row r="52" spans="1:5" x14ac:dyDescent="0.25">
      <c r="A52" s="34"/>
      <c r="B52" s="22"/>
      <c r="C52" s="22"/>
      <c r="D52" s="35"/>
      <c r="E52" s="22"/>
    </row>
    <row r="53" spans="1:5" x14ac:dyDescent="0.25">
      <c r="A53" s="34"/>
      <c r="B53" s="22"/>
      <c r="C53" s="22"/>
      <c r="D53" s="35"/>
      <c r="E53" s="22"/>
    </row>
    <row r="54" spans="1:5" x14ac:dyDescent="0.25">
      <c r="A54" s="34"/>
      <c r="B54" s="22"/>
      <c r="C54" s="22"/>
      <c r="D54" s="35"/>
      <c r="E54" s="22"/>
    </row>
    <row r="55" spans="1:5" x14ac:dyDescent="0.25">
      <c r="A55" s="34"/>
      <c r="B55" s="22"/>
      <c r="C55" s="22"/>
      <c r="D55" s="35"/>
      <c r="E55" s="22"/>
    </row>
    <row r="56" spans="1:5" x14ac:dyDescent="0.25">
      <c r="A56" s="34"/>
      <c r="B56" s="22"/>
      <c r="C56" s="22"/>
      <c r="D56" s="35"/>
      <c r="E56" s="22"/>
    </row>
    <row r="57" spans="1:5" x14ac:dyDescent="0.25">
      <c r="A57" s="34"/>
      <c r="B57" s="22"/>
      <c r="C57" s="22"/>
      <c r="D57" s="35"/>
      <c r="E57" s="22"/>
    </row>
    <row r="58" spans="1:5" x14ac:dyDescent="0.25">
      <c r="A58" s="34"/>
      <c r="B58" s="22"/>
      <c r="C58" s="22"/>
      <c r="D58" s="35"/>
      <c r="E58" s="22"/>
    </row>
    <row r="59" spans="1:5" x14ac:dyDescent="0.25">
      <c r="A59" s="34"/>
      <c r="B59" s="22"/>
      <c r="C59" s="22"/>
      <c r="D59" s="35"/>
      <c r="E59" s="22"/>
    </row>
    <row r="60" spans="1:5" x14ac:dyDescent="0.25">
      <c r="A60" s="34"/>
      <c r="B60" s="22"/>
      <c r="C60" s="22"/>
      <c r="D60" s="35"/>
      <c r="E60" s="22"/>
    </row>
    <row r="61" spans="1:5" x14ac:dyDescent="0.25">
      <c r="A61" s="43" t="s">
        <v>103</v>
      </c>
      <c r="B61" s="44"/>
      <c r="C61" s="44"/>
      <c r="D61" s="45"/>
      <c r="E61" s="2">
        <f>SUM(E5:E45)</f>
        <v>2527672783</v>
      </c>
    </row>
    <row r="62" spans="1:5" x14ac:dyDescent="0.25">
      <c r="A62" s="28"/>
      <c r="B62" s="29"/>
      <c r="C62" s="29"/>
      <c r="D62" s="29"/>
      <c r="E62" s="29"/>
    </row>
    <row r="63" spans="1:5" x14ac:dyDescent="0.25">
      <c r="A63" s="28"/>
      <c r="B63" s="29"/>
      <c r="C63" s="29"/>
      <c r="D63" s="29"/>
      <c r="E63" s="29"/>
    </row>
  </sheetData>
  <mergeCells count="7">
    <mergeCell ref="A61:D61"/>
    <mergeCell ref="E32:E45"/>
    <mergeCell ref="A2:E3"/>
    <mergeCell ref="E5:E6"/>
    <mergeCell ref="E8:E10"/>
    <mergeCell ref="E12:E18"/>
    <mergeCell ref="E20:E30"/>
  </mergeCells>
  <pageMargins left="0.59055118110236227" right="0.19685039370078741" top="0.19685039370078741" bottom="0.19685039370078741" header="0.19685039370078741" footer="0.19685039370078741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C3A1A-4C3B-4E56-A6F2-891561699CEA}">
  <dimension ref="A2:E47"/>
  <sheetViews>
    <sheetView workbookViewId="0">
      <pane ySplit="1515" activePane="bottomLeft"/>
      <selection activeCell="D4" sqref="D4"/>
      <selection pane="bottomLeft" activeCell="A46" sqref="A46"/>
    </sheetView>
  </sheetViews>
  <sheetFormatPr defaultRowHeight="15" x14ac:dyDescent="0.25"/>
  <cols>
    <col min="1" max="1" width="10.42578125" style="1" customWidth="1"/>
    <col min="2" max="2" width="22.140625" customWidth="1"/>
    <col min="3" max="3" width="36.5703125" customWidth="1"/>
    <col min="4" max="4" width="19" customWidth="1"/>
    <col min="5" max="5" width="16.5703125" bestFit="1" customWidth="1"/>
    <col min="9" max="10" width="14.28515625" bestFit="1" customWidth="1"/>
  </cols>
  <sheetData>
    <row r="2" spans="1:5" x14ac:dyDescent="0.25">
      <c r="A2" s="46" t="s">
        <v>4</v>
      </c>
      <c r="B2" s="46"/>
      <c r="C2" s="46"/>
      <c r="D2" s="46"/>
      <c r="E2" s="46"/>
    </row>
    <row r="3" spans="1:5" x14ac:dyDescent="0.25">
      <c r="A3" s="46"/>
      <c r="B3" s="46"/>
      <c r="C3" s="46"/>
      <c r="D3" s="46"/>
      <c r="E3" s="46"/>
    </row>
    <row r="4" spans="1:5" ht="15.75" x14ac:dyDescent="0.25">
      <c r="A4" s="3" t="s">
        <v>40</v>
      </c>
      <c r="B4" s="3" t="s">
        <v>41</v>
      </c>
      <c r="C4" s="3" t="s">
        <v>42</v>
      </c>
      <c r="D4" s="3" t="s">
        <v>102</v>
      </c>
      <c r="E4" s="3" t="s">
        <v>44</v>
      </c>
    </row>
    <row r="5" spans="1:5" x14ac:dyDescent="0.25">
      <c r="A5" s="4">
        <v>45680</v>
      </c>
      <c r="B5" s="4" t="s">
        <v>69</v>
      </c>
      <c r="C5" s="5" t="s">
        <v>70</v>
      </c>
      <c r="D5" s="6">
        <v>574810653</v>
      </c>
      <c r="E5" s="51">
        <f>SUM(D5:D6)</f>
        <v>574810653</v>
      </c>
    </row>
    <row r="6" spans="1:5" x14ac:dyDescent="0.25">
      <c r="A6" s="4"/>
      <c r="B6" s="4"/>
      <c r="C6" s="5"/>
      <c r="D6" s="6"/>
      <c r="E6" s="47"/>
    </row>
    <row r="7" spans="1:5" x14ac:dyDescent="0.25">
      <c r="A7" s="10"/>
      <c r="B7" s="10"/>
      <c r="C7" s="11"/>
      <c r="D7" s="12"/>
      <c r="E7" s="13"/>
    </row>
    <row r="8" spans="1:5" x14ac:dyDescent="0.25">
      <c r="A8" s="7">
        <v>45712</v>
      </c>
      <c r="B8" s="7" t="s">
        <v>71</v>
      </c>
      <c r="C8" s="8" t="s">
        <v>11</v>
      </c>
      <c r="D8" s="23">
        <v>28998750</v>
      </c>
      <c r="E8" s="51">
        <f>SUM(D8:D10)</f>
        <v>66960750</v>
      </c>
    </row>
    <row r="9" spans="1:5" x14ac:dyDescent="0.25">
      <c r="A9" s="4">
        <v>45712</v>
      </c>
      <c r="B9" s="4" t="s">
        <v>72</v>
      </c>
      <c r="C9" s="5" t="s">
        <v>11</v>
      </c>
      <c r="D9" s="6">
        <v>37962000</v>
      </c>
      <c r="E9" s="47"/>
    </row>
    <row r="10" spans="1:5" x14ac:dyDescent="0.25">
      <c r="A10" s="7"/>
      <c r="B10" s="7"/>
      <c r="C10" s="8"/>
      <c r="D10" s="9"/>
      <c r="E10" s="48"/>
    </row>
    <row r="11" spans="1:5" x14ac:dyDescent="0.25">
      <c r="A11" s="14"/>
      <c r="B11" s="14"/>
      <c r="C11" s="15"/>
      <c r="D11" s="12"/>
      <c r="E11" s="13"/>
    </row>
    <row r="12" spans="1:5" x14ac:dyDescent="0.25">
      <c r="A12" s="21">
        <v>45762</v>
      </c>
      <c r="B12" s="22" t="s">
        <v>74</v>
      </c>
      <c r="C12" s="22" t="s">
        <v>2</v>
      </c>
      <c r="D12" s="23">
        <v>36796500</v>
      </c>
      <c r="E12" s="47">
        <f>SUM(D12:D17)</f>
        <v>306276750</v>
      </c>
    </row>
    <row r="13" spans="1:5" x14ac:dyDescent="0.25">
      <c r="A13" s="21">
        <v>45762</v>
      </c>
      <c r="B13" s="22" t="s">
        <v>75</v>
      </c>
      <c r="C13" s="22" t="s">
        <v>21</v>
      </c>
      <c r="D13" s="23">
        <v>44538750</v>
      </c>
      <c r="E13" s="47"/>
    </row>
    <row r="14" spans="1:5" x14ac:dyDescent="0.25">
      <c r="A14" s="21">
        <v>45762</v>
      </c>
      <c r="B14" s="22" t="s">
        <v>73</v>
      </c>
      <c r="C14" s="22" t="s">
        <v>21</v>
      </c>
      <c r="D14" s="23">
        <v>16095000</v>
      </c>
      <c r="E14" s="47"/>
    </row>
    <row r="15" spans="1:5" x14ac:dyDescent="0.25">
      <c r="A15" s="21">
        <v>45764</v>
      </c>
      <c r="B15" s="22" t="s">
        <v>76</v>
      </c>
      <c r="C15" s="22" t="s">
        <v>2</v>
      </c>
      <c r="D15" s="23">
        <v>169830000</v>
      </c>
      <c r="E15" s="47"/>
    </row>
    <row r="16" spans="1:5" x14ac:dyDescent="0.25">
      <c r="A16" s="21">
        <v>45764</v>
      </c>
      <c r="B16" s="22" t="s">
        <v>77</v>
      </c>
      <c r="C16" s="22" t="s">
        <v>2</v>
      </c>
      <c r="D16" s="23">
        <v>39016500</v>
      </c>
      <c r="E16" s="47"/>
    </row>
    <row r="17" spans="1:5" x14ac:dyDescent="0.25">
      <c r="A17" s="21"/>
      <c r="B17" s="22"/>
      <c r="C17" s="22"/>
      <c r="D17" s="23"/>
      <c r="E17" s="47"/>
    </row>
    <row r="18" spans="1:5" x14ac:dyDescent="0.25">
      <c r="A18" s="24"/>
      <c r="B18" s="19"/>
      <c r="C18" s="19"/>
      <c r="D18" s="25"/>
      <c r="E18" s="20"/>
    </row>
    <row r="19" spans="1:5" x14ac:dyDescent="0.25">
      <c r="A19" s="21">
        <v>45782</v>
      </c>
      <c r="B19" s="22" t="s">
        <v>78</v>
      </c>
      <c r="C19" s="22" t="s">
        <v>55</v>
      </c>
      <c r="D19" s="6">
        <v>82410000</v>
      </c>
      <c r="E19" s="51">
        <f>SUM(D19:D29)</f>
        <v>1657697161</v>
      </c>
    </row>
    <row r="20" spans="1:5" x14ac:dyDescent="0.25">
      <c r="A20" s="21">
        <v>45790</v>
      </c>
      <c r="B20" s="22" t="s">
        <v>79</v>
      </c>
      <c r="C20" s="22" t="s">
        <v>80</v>
      </c>
      <c r="D20" s="6">
        <v>56832411</v>
      </c>
      <c r="E20" s="47"/>
    </row>
    <row r="21" spans="1:5" x14ac:dyDescent="0.25">
      <c r="A21" s="21">
        <v>45790</v>
      </c>
      <c r="B21" s="22" t="s">
        <v>81</v>
      </c>
      <c r="C21" s="22" t="s">
        <v>2</v>
      </c>
      <c r="D21" s="6">
        <v>33216750</v>
      </c>
      <c r="E21" s="47"/>
    </row>
    <row r="22" spans="1:5" x14ac:dyDescent="0.25">
      <c r="A22" s="21">
        <v>45790</v>
      </c>
      <c r="B22" s="22" t="s">
        <v>82</v>
      </c>
      <c r="C22" s="22" t="s">
        <v>39</v>
      </c>
      <c r="D22" s="6">
        <v>15817500</v>
      </c>
      <c r="E22" s="47"/>
    </row>
    <row r="23" spans="1:5" x14ac:dyDescent="0.25">
      <c r="A23" s="21">
        <v>45790</v>
      </c>
      <c r="B23" s="22" t="s">
        <v>83</v>
      </c>
      <c r="C23" s="22" t="s">
        <v>32</v>
      </c>
      <c r="D23" s="6">
        <v>418750000</v>
      </c>
      <c r="E23" s="47"/>
    </row>
    <row r="24" spans="1:5" x14ac:dyDescent="0.25">
      <c r="A24" s="21">
        <v>45790</v>
      </c>
      <c r="B24" s="22" t="s">
        <v>84</v>
      </c>
      <c r="C24" s="22" t="s">
        <v>32</v>
      </c>
      <c r="D24" s="6">
        <v>473970000</v>
      </c>
      <c r="E24" s="47"/>
    </row>
    <row r="25" spans="1:5" x14ac:dyDescent="0.25">
      <c r="A25" s="21">
        <v>45790</v>
      </c>
      <c r="B25" s="22" t="s">
        <v>85</v>
      </c>
      <c r="C25" s="22" t="s">
        <v>32</v>
      </c>
      <c r="D25" s="6">
        <v>139860000</v>
      </c>
      <c r="E25" s="47"/>
    </row>
    <row r="26" spans="1:5" x14ac:dyDescent="0.25">
      <c r="A26" s="21">
        <v>45790</v>
      </c>
      <c r="B26" s="22" t="s">
        <v>86</v>
      </c>
      <c r="C26" s="22" t="s">
        <v>32</v>
      </c>
      <c r="D26" s="6">
        <v>258630000</v>
      </c>
      <c r="E26" s="47"/>
    </row>
    <row r="27" spans="1:5" x14ac:dyDescent="0.25">
      <c r="A27" s="21">
        <v>45793</v>
      </c>
      <c r="B27" s="22" t="s">
        <v>87</v>
      </c>
      <c r="C27" s="22" t="s">
        <v>2</v>
      </c>
      <c r="D27" s="6">
        <v>152847000</v>
      </c>
      <c r="E27" s="47"/>
    </row>
    <row r="28" spans="1:5" x14ac:dyDescent="0.25">
      <c r="A28" s="21">
        <v>45798</v>
      </c>
      <c r="B28" s="22" t="s">
        <v>88</v>
      </c>
      <c r="C28" s="22" t="s">
        <v>55</v>
      </c>
      <c r="D28" s="6">
        <v>15928500</v>
      </c>
      <c r="E28" s="47"/>
    </row>
    <row r="29" spans="1:5" x14ac:dyDescent="0.25">
      <c r="A29" s="21">
        <v>45798</v>
      </c>
      <c r="B29" s="22" t="s">
        <v>89</v>
      </c>
      <c r="C29" s="22" t="s">
        <v>55</v>
      </c>
      <c r="D29" s="6">
        <v>9435000</v>
      </c>
      <c r="E29" s="47"/>
    </row>
    <row r="30" spans="1:5" x14ac:dyDescent="0.25">
      <c r="A30" s="18"/>
      <c r="B30" s="19"/>
      <c r="C30" s="19"/>
      <c r="D30" s="20"/>
      <c r="E30" s="20"/>
    </row>
    <row r="31" spans="1:5" x14ac:dyDescent="0.25">
      <c r="A31" s="21">
        <v>45811</v>
      </c>
      <c r="B31" s="22" t="s">
        <v>90</v>
      </c>
      <c r="C31" s="22" t="s">
        <v>21</v>
      </c>
      <c r="D31" s="37">
        <v>44538750</v>
      </c>
      <c r="E31" s="51">
        <f>SUM(D31:D42)</f>
        <v>224515260</v>
      </c>
    </row>
    <row r="32" spans="1:5" x14ac:dyDescent="0.25">
      <c r="A32" s="21">
        <v>45811</v>
      </c>
      <c r="B32" s="36" t="s">
        <v>91</v>
      </c>
      <c r="C32" s="22" t="s">
        <v>55</v>
      </c>
      <c r="D32" s="38">
        <v>2808300</v>
      </c>
      <c r="E32" s="52"/>
    </row>
    <row r="33" spans="1:5" x14ac:dyDescent="0.25">
      <c r="A33" s="21">
        <v>45812</v>
      </c>
      <c r="B33" s="36" t="s">
        <v>92</v>
      </c>
      <c r="C33" s="22" t="s">
        <v>55</v>
      </c>
      <c r="D33" s="38">
        <v>1387500</v>
      </c>
      <c r="E33" s="52"/>
    </row>
    <row r="34" spans="1:5" x14ac:dyDescent="0.25">
      <c r="A34" s="21">
        <v>45813</v>
      </c>
      <c r="B34" s="36" t="s">
        <v>93</v>
      </c>
      <c r="C34" s="22" t="s">
        <v>94</v>
      </c>
      <c r="D34" s="38">
        <v>55056000</v>
      </c>
      <c r="E34" s="52"/>
    </row>
    <row r="35" spans="1:5" x14ac:dyDescent="0.25">
      <c r="A35" s="21">
        <v>45818</v>
      </c>
      <c r="B35" s="36" t="s">
        <v>95</v>
      </c>
      <c r="C35" s="22" t="s">
        <v>39</v>
      </c>
      <c r="D35" s="38">
        <v>15817500</v>
      </c>
      <c r="E35" s="52"/>
    </row>
    <row r="36" spans="1:5" x14ac:dyDescent="0.25">
      <c r="A36" s="21">
        <v>45820</v>
      </c>
      <c r="B36" s="36" t="s">
        <v>96</v>
      </c>
      <c r="C36" s="22" t="s">
        <v>2</v>
      </c>
      <c r="D36" s="38">
        <v>9230760</v>
      </c>
      <c r="E36" s="52"/>
    </row>
    <row r="37" spans="1:5" x14ac:dyDescent="0.25">
      <c r="A37" s="21">
        <v>45820</v>
      </c>
      <c r="B37" s="36" t="s">
        <v>97</v>
      </c>
      <c r="C37" s="22" t="s">
        <v>2</v>
      </c>
      <c r="D37" s="38">
        <v>31468500</v>
      </c>
      <c r="E37" s="52"/>
    </row>
    <row r="38" spans="1:5" x14ac:dyDescent="0.25">
      <c r="A38" s="21">
        <v>45824</v>
      </c>
      <c r="B38" s="36" t="s">
        <v>98</v>
      </c>
      <c r="C38" s="22" t="s">
        <v>32</v>
      </c>
      <c r="D38" s="38">
        <v>30090435</v>
      </c>
      <c r="E38" s="52"/>
    </row>
    <row r="39" spans="1:5" x14ac:dyDescent="0.25">
      <c r="A39" s="21">
        <v>45825</v>
      </c>
      <c r="B39" s="36" t="s">
        <v>100</v>
      </c>
      <c r="C39" s="22" t="s">
        <v>32</v>
      </c>
      <c r="D39" s="38">
        <v>1739925</v>
      </c>
      <c r="E39" s="52"/>
    </row>
    <row r="40" spans="1:5" x14ac:dyDescent="0.25">
      <c r="A40" s="21">
        <v>45824</v>
      </c>
      <c r="B40" s="36" t="s">
        <v>99</v>
      </c>
      <c r="C40" s="22" t="s">
        <v>32</v>
      </c>
      <c r="D40" s="38">
        <v>24531000</v>
      </c>
      <c r="E40" s="52"/>
    </row>
    <row r="41" spans="1:5" x14ac:dyDescent="0.25">
      <c r="A41" s="21">
        <v>45825</v>
      </c>
      <c r="B41" s="36" t="s">
        <v>101</v>
      </c>
      <c r="C41" s="22" t="s">
        <v>32</v>
      </c>
      <c r="D41" s="38">
        <v>7846590</v>
      </c>
      <c r="E41" s="52"/>
    </row>
    <row r="42" spans="1:5" x14ac:dyDescent="0.25">
      <c r="A42" s="21"/>
      <c r="B42" s="36"/>
      <c r="C42" s="22"/>
      <c r="D42" s="38"/>
      <c r="E42" s="53"/>
    </row>
    <row r="43" spans="1:5" x14ac:dyDescent="0.25">
      <c r="A43" s="18"/>
      <c r="B43" s="19"/>
      <c r="C43" s="19"/>
      <c r="D43" s="20"/>
      <c r="E43" s="20"/>
    </row>
    <row r="44" spans="1:5" x14ac:dyDescent="0.25">
      <c r="A44" s="34"/>
      <c r="B44" s="36"/>
      <c r="C44" s="22"/>
      <c r="D44" s="35"/>
      <c r="E44" s="22"/>
    </row>
    <row r="45" spans="1:5" x14ac:dyDescent="0.25">
      <c r="A45" s="43" t="s">
        <v>103</v>
      </c>
      <c r="B45" s="44"/>
      <c r="C45" s="44"/>
      <c r="D45" s="45"/>
      <c r="E45" s="2">
        <f>SUM(E5:E42)</f>
        <v>2830260574</v>
      </c>
    </row>
    <row r="46" spans="1:5" x14ac:dyDescent="0.25">
      <c r="A46" s="28"/>
      <c r="B46" s="29"/>
      <c r="C46" s="29"/>
      <c r="D46" s="29"/>
      <c r="E46" s="29"/>
    </row>
    <row r="47" spans="1:5" x14ac:dyDescent="0.25">
      <c r="A47" s="28"/>
      <c r="B47" s="29"/>
      <c r="C47" s="29"/>
      <c r="D47" s="29"/>
      <c r="E47" s="29"/>
    </row>
  </sheetData>
  <mergeCells count="7">
    <mergeCell ref="A45:D45"/>
    <mergeCell ref="E31:E42"/>
    <mergeCell ref="A2:E3"/>
    <mergeCell ref="E5:E6"/>
    <mergeCell ref="E8:E10"/>
    <mergeCell ref="E12:E17"/>
    <mergeCell ref="E19:E29"/>
  </mergeCells>
  <pageMargins left="0.59055118110236227" right="0.19685039370078741" top="0.19685039370078741" bottom="0.19685039370078741" header="0.19685039370078741" footer="0.19685039370078741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69"/>
  <sheetViews>
    <sheetView workbookViewId="0">
      <pane ySplit="1515" activePane="bottomLeft"/>
      <selection pane="bottomLeft" activeCell="I27" sqref="I27:J30"/>
    </sheetView>
  </sheetViews>
  <sheetFormatPr defaultRowHeight="15" x14ac:dyDescent="0.25"/>
  <cols>
    <col min="1" max="1" width="12.5703125" style="1" customWidth="1"/>
    <col min="2" max="2" width="22.140625" customWidth="1"/>
    <col min="3" max="3" width="36.5703125" customWidth="1"/>
    <col min="4" max="4" width="19" customWidth="1"/>
    <col min="5" max="5" width="16.5703125" bestFit="1" customWidth="1"/>
    <col min="9" max="10" width="14.28515625" bestFit="1" customWidth="1"/>
  </cols>
  <sheetData>
    <row r="2" spans="1:5" x14ac:dyDescent="0.25">
      <c r="A2" s="46" t="s">
        <v>4</v>
      </c>
      <c r="B2" s="46"/>
      <c r="C2" s="46"/>
      <c r="D2" s="46"/>
      <c r="E2" s="46"/>
    </row>
    <row r="3" spans="1:5" x14ac:dyDescent="0.25">
      <c r="A3" s="46"/>
      <c r="B3" s="46"/>
      <c r="C3" s="46"/>
      <c r="D3" s="46"/>
      <c r="E3" s="46"/>
    </row>
    <row r="4" spans="1:5" ht="15.75" x14ac:dyDescent="0.2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</row>
    <row r="5" spans="1:5" x14ac:dyDescent="0.25">
      <c r="A5" s="4">
        <v>45387</v>
      </c>
      <c r="B5" s="4" t="s">
        <v>67</v>
      </c>
      <c r="C5" s="5" t="s">
        <v>6</v>
      </c>
      <c r="D5" s="6">
        <v>55500000</v>
      </c>
      <c r="E5" s="51">
        <f>SUM(D5:D8)</f>
        <v>476412555</v>
      </c>
    </row>
    <row r="6" spans="1:5" x14ac:dyDescent="0.25">
      <c r="A6" s="4">
        <v>45387</v>
      </c>
      <c r="B6" s="4" t="s">
        <v>5</v>
      </c>
      <c r="C6" s="5" t="s">
        <v>6</v>
      </c>
      <c r="D6" s="6">
        <v>389832555</v>
      </c>
      <c r="E6" s="47"/>
    </row>
    <row r="7" spans="1:5" x14ac:dyDescent="0.25">
      <c r="A7" s="4">
        <v>45406</v>
      </c>
      <c r="B7" s="4" t="s">
        <v>7</v>
      </c>
      <c r="C7" s="5" t="s">
        <v>6</v>
      </c>
      <c r="D7" s="6">
        <v>15540000</v>
      </c>
      <c r="E7" s="47"/>
    </row>
    <row r="8" spans="1:5" x14ac:dyDescent="0.25">
      <c r="A8" s="7">
        <v>45429</v>
      </c>
      <c r="B8" s="7" t="s">
        <v>8</v>
      </c>
      <c r="C8" s="8" t="s">
        <v>6</v>
      </c>
      <c r="D8" s="9">
        <v>15540000</v>
      </c>
      <c r="E8" s="48"/>
    </row>
    <row r="9" spans="1:5" x14ac:dyDescent="0.25">
      <c r="A9" s="10"/>
      <c r="B9" s="10"/>
      <c r="C9" s="11"/>
      <c r="D9" s="12"/>
      <c r="E9" s="13"/>
    </row>
    <row r="10" spans="1:5" x14ac:dyDescent="0.25">
      <c r="A10" s="7">
        <v>45899</v>
      </c>
      <c r="B10" s="7" t="s">
        <v>9</v>
      </c>
      <c r="C10" s="8" t="s">
        <v>1</v>
      </c>
      <c r="D10" s="23">
        <v>110006730</v>
      </c>
      <c r="E10" s="51">
        <f>SUM(D10:D12)</f>
        <v>569546730</v>
      </c>
    </row>
    <row r="11" spans="1:5" x14ac:dyDescent="0.25">
      <c r="A11" s="4">
        <v>45646</v>
      </c>
      <c r="B11" s="4" t="s">
        <v>18</v>
      </c>
      <c r="C11" s="5" t="s">
        <v>1</v>
      </c>
      <c r="D11" s="6">
        <v>3330000</v>
      </c>
      <c r="E11" s="47"/>
    </row>
    <row r="12" spans="1:5" x14ac:dyDescent="0.25">
      <c r="A12" s="7">
        <v>45646</v>
      </c>
      <c r="B12" s="7" t="s">
        <v>19</v>
      </c>
      <c r="C12" s="8" t="s">
        <v>1</v>
      </c>
      <c r="D12" s="9">
        <v>456210000</v>
      </c>
      <c r="E12" s="48"/>
    </row>
    <row r="13" spans="1:5" x14ac:dyDescent="0.25">
      <c r="A13" s="14"/>
      <c r="B13" s="14"/>
      <c r="C13" s="15"/>
      <c r="D13" s="12"/>
      <c r="E13" s="13"/>
    </row>
    <row r="14" spans="1:5" x14ac:dyDescent="0.25">
      <c r="A14" s="4">
        <v>45561</v>
      </c>
      <c r="B14" s="4" t="s">
        <v>10</v>
      </c>
      <c r="C14" s="5" t="s">
        <v>11</v>
      </c>
      <c r="D14" s="16">
        <v>11768220</v>
      </c>
      <c r="E14" s="17">
        <f>SUM(D14:D14)</f>
        <v>11768220</v>
      </c>
    </row>
    <row r="15" spans="1:5" x14ac:dyDescent="0.25">
      <c r="A15" s="18"/>
      <c r="B15" s="19"/>
      <c r="C15" s="19"/>
      <c r="D15" s="20"/>
      <c r="E15" s="20"/>
    </row>
    <row r="16" spans="1:5" x14ac:dyDescent="0.25">
      <c r="A16" s="21">
        <v>45590</v>
      </c>
      <c r="B16" s="22" t="s">
        <v>12</v>
      </c>
      <c r="C16" s="22" t="s">
        <v>2</v>
      </c>
      <c r="D16" s="23">
        <v>61188750</v>
      </c>
      <c r="E16" s="47">
        <f>SUM(D16:D21)</f>
        <v>394136025</v>
      </c>
    </row>
    <row r="17" spans="1:10" x14ac:dyDescent="0.25">
      <c r="A17" s="21">
        <v>45590</v>
      </c>
      <c r="B17" s="22" t="s">
        <v>13</v>
      </c>
      <c r="C17" s="22" t="s">
        <v>2</v>
      </c>
      <c r="D17" s="23">
        <v>18262275</v>
      </c>
      <c r="E17" s="47"/>
    </row>
    <row r="18" spans="1:10" x14ac:dyDescent="0.25">
      <c r="A18" s="21">
        <v>45597</v>
      </c>
      <c r="B18" s="22" t="s">
        <v>15</v>
      </c>
      <c r="C18" s="22" t="s">
        <v>2</v>
      </c>
      <c r="D18" s="23">
        <v>37962000</v>
      </c>
      <c r="E18" s="47"/>
    </row>
    <row r="19" spans="1:10" x14ac:dyDescent="0.25">
      <c r="A19" s="21">
        <v>45614</v>
      </c>
      <c r="B19" s="22" t="s">
        <v>14</v>
      </c>
      <c r="C19" s="22" t="s">
        <v>2</v>
      </c>
      <c r="D19" s="23">
        <v>93406500</v>
      </c>
      <c r="E19" s="47"/>
    </row>
    <row r="20" spans="1:10" x14ac:dyDescent="0.25">
      <c r="A20" s="21">
        <v>45631</v>
      </c>
      <c r="B20" s="22" t="s">
        <v>16</v>
      </c>
      <c r="C20" s="22" t="s">
        <v>2</v>
      </c>
      <c r="D20" s="23">
        <v>127372500</v>
      </c>
      <c r="E20" s="47"/>
    </row>
    <row r="21" spans="1:10" x14ac:dyDescent="0.25">
      <c r="A21" s="21">
        <v>45652</v>
      </c>
      <c r="B21" s="22" t="s">
        <v>17</v>
      </c>
      <c r="C21" s="22" t="s">
        <v>2</v>
      </c>
      <c r="D21" s="23">
        <v>55944000</v>
      </c>
      <c r="E21" s="47"/>
    </row>
    <row r="22" spans="1:10" x14ac:dyDescent="0.25">
      <c r="A22" s="24"/>
      <c r="B22" s="19"/>
      <c r="C22" s="19"/>
      <c r="D22" s="25"/>
      <c r="E22" s="20"/>
    </row>
    <row r="23" spans="1:10" x14ac:dyDescent="0.25">
      <c r="A23" s="21">
        <v>45617</v>
      </c>
      <c r="B23" s="22" t="s">
        <v>20</v>
      </c>
      <c r="C23" s="22" t="s">
        <v>21</v>
      </c>
      <c r="D23" s="23">
        <v>16095000</v>
      </c>
      <c r="E23" s="17">
        <f>SUM(D23:D23)</f>
        <v>16095000</v>
      </c>
    </row>
    <row r="24" spans="1:10" x14ac:dyDescent="0.25">
      <c r="A24" s="24"/>
      <c r="B24" s="19"/>
      <c r="C24" s="19"/>
      <c r="D24" s="25"/>
      <c r="E24" s="20"/>
    </row>
    <row r="25" spans="1:10" x14ac:dyDescent="0.25">
      <c r="A25" s="21">
        <v>45635</v>
      </c>
      <c r="B25" s="22" t="s">
        <v>45</v>
      </c>
      <c r="C25" s="22" t="s">
        <v>3</v>
      </c>
      <c r="D25" s="23">
        <v>2819400</v>
      </c>
      <c r="E25" s="17">
        <f>SUM(D25:D25)</f>
        <v>2819400</v>
      </c>
    </row>
    <row r="26" spans="1:10" x14ac:dyDescent="0.25">
      <c r="A26" s="24"/>
      <c r="B26" s="19"/>
      <c r="C26" s="19"/>
      <c r="D26" s="25"/>
      <c r="E26" s="20"/>
    </row>
    <row r="27" spans="1:10" x14ac:dyDescent="0.25">
      <c r="A27" s="21">
        <v>45616</v>
      </c>
      <c r="B27" s="22" t="s">
        <v>22</v>
      </c>
      <c r="C27" s="22" t="s">
        <v>23</v>
      </c>
      <c r="D27" s="6">
        <v>1665000</v>
      </c>
      <c r="E27" s="54">
        <f>SUM(D27:D28)</f>
        <v>12900420</v>
      </c>
      <c r="I27" s="30"/>
      <c r="J27" s="32"/>
    </row>
    <row r="28" spans="1:10" x14ac:dyDescent="0.25">
      <c r="A28" s="21">
        <v>45625</v>
      </c>
      <c r="B28" s="22" t="s">
        <v>24</v>
      </c>
      <c r="C28" s="22" t="s">
        <v>23</v>
      </c>
      <c r="D28" s="6">
        <v>11235420</v>
      </c>
      <c r="E28" s="55"/>
      <c r="I28" s="31"/>
      <c r="J28" s="32"/>
    </row>
    <row r="29" spans="1:10" x14ac:dyDescent="0.25">
      <c r="A29" s="18"/>
      <c r="B29" s="19"/>
      <c r="C29" s="19"/>
      <c r="D29" s="20"/>
      <c r="E29" s="20"/>
      <c r="I29" s="31"/>
      <c r="J29" s="32"/>
    </row>
    <row r="30" spans="1:10" x14ac:dyDescent="0.25">
      <c r="A30" s="21">
        <v>45625</v>
      </c>
      <c r="B30" s="22" t="s">
        <v>25</v>
      </c>
      <c r="C30" s="22" t="s">
        <v>0</v>
      </c>
      <c r="D30" s="6">
        <v>8429340</v>
      </c>
      <c r="E30" s="17">
        <f>SUM(D30:D30)</f>
        <v>8429340</v>
      </c>
      <c r="J30" s="33"/>
    </row>
    <row r="31" spans="1:10" x14ac:dyDescent="0.25">
      <c r="A31" s="18"/>
      <c r="B31" s="19"/>
      <c r="C31" s="19"/>
      <c r="D31" s="20"/>
      <c r="E31" s="20"/>
    </row>
    <row r="32" spans="1:10" x14ac:dyDescent="0.25">
      <c r="A32" s="21">
        <v>45631</v>
      </c>
      <c r="B32" s="22" t="s">
        <v>26</v>
      </c>
      <c r="C32" s="22" t="s">
        <v>27</v>
      </c>
      <c r="D32" s="6">
        <v>291375</v>
      </c>
      <c r="E32" s="51">
        <f>SUM(D32:D35)</f>
        <v>4627479</v>
      </c>
    </row>
    <row r="33" spans="1:5" x14ac:dyDescent="0.25">
      <c r="A33" s="21">
        <v>45630</v>
      </c>
      <c r="B33" s="22" t="s">
        <v>28</v>
      </c>
      <c r="C33" s="22" t="s">
        <v>27</v>
      </c>
      <c r="D33" s="6">
        <v>815850</v>
      </c>
      <c r="E33" s="47"/>
    </row>
    <row r="34" spans="1:5" x14ac:dyDescent="0.25">
      <c r="A34" s="21">
        <v>45632</v>
      </c>
      <c r="B34" s="22" t="s">
        <v>30</v>
      </c>
      <c r="C34" s="22" t="s">
        <v>27</v>
      </c>
      <c r="D34" s="6">
        <v>466200</v>
      </c>
      <c r="E34" s="47"/>
    </row>
    <row r="35" spans="1:5" x14ac:dyDescent="0.25">
      <c r="A35" s="21">
        <v>45632</v>
      </c>
      <c r="B35" s="22" t="s">
        <v>29</v>
      </c>
      <c r="C35" s="22" t="s">
        <v>27</v>
      </c>
      <c r="D35" s="6">
        <v>3054054</v>
      </c>
      <c r="E35" s="47"/>
    </row>
    <row r="36" spans="1:5" x14ac:dyDescent="0.25">
      <c r="A36" s="18"/>
      <c r="B36" s="19"/>
      <c r="C36" s="19"/>
      <c r="D36" s="20"/>
      <c r="E36" s="20"/>
    </row>
    <row r="37" spans="1:5" x14ac:dyDescent="0.25">
      <c r="A37" s="21">
        <v>45636</v>
      </c>
      <c r="B37" s="22" t="s">
        <v>31</v>
      </c>
      <c r="C37" s="22" t="s">
        <v>32</v>
      </c>
      <c r="D37" s="6">
        <v>1833720</v>
      </c>
      <c r="E37" s="54">
        <f>SUM(D37:D38)</f>
        <v>2125095</v>
      </c>
    </row>
    <row r="38" spans="1:5" x14ac:dyDescent="0.25">
      <c r="A38" s="21">
        <v>45645</v>
      </c>
      <c r="B38" s="22" t="s">
        <v>33</v>
      </c>
      <c r="C38" s="22" t="s">
        <v>32</v>
      </c>
      <c r="D38" s="6">
        <v>291375</v>
      </c>
      <c r="E38" s="56"/>
    </row>
    <row r="39" spans="1:5" x14ac:dyDescent="0.25">
      <c r="A39" s="18"/>
      <c r="B39" s="19"/>
      <c r="C39" s="19"/>
      <c r="D39" s="20"/>
      <c r="E39" s="20"/>
    </row>
    <row r="40" spans="1:5" x14ac:dyDescent="0.25">
      <c r="A40" s="21">
        <v>45629</v>
      </c>
      <c r="B40" s="22" t="s">
        <v>35</v>
      </c>
      <c r="C40" s="22" t="s">
        <v>37</v>
      </c>
      <c r="D40" s="6">
        <v>38598252</v>
      </c>
      <c r="E40" s="54">
        <f>SUM(D40:D41)</f>
        <v>200962725</v>
      </c>
    </row>
    <row r="41" spans="1:5" x14ac:dyDescent="0.25">
      <c r="A41" s="21">
        <v>45629</v>
      </c>
      <c r="B41" s="22" t="s">
        <v>36</v>
      </c>
      <c r="C41" s="22" t="s">
        <v>37</v>
      </c>
      <c r="D41" s="6">
        <v>162364473</v>
      </c>
      <c r="E41" s="56"/>
    </row>
    <row r="42" spans="1:5" x14ac:dyDescent="0.25">
      <c r="A42" s="18"/>
      <c r="B42" s="19"/>
      <c r="C42" s="19"/>
      <c r="D42" s="20"/>
      <c r="E42" s="20"/>
    </row>
    <row r="43" spans="1:5" x14ac:dyDescent="0.25">
      <c r="A43" s="21">
        <v>45631</v>
      </c>
      <c r="B43" s="22" t="s">
        <v>38</v>
      </c>
      <c r="C43" s="22" t="s">
        <v>39</v>
      </c>
      <c r="D43" s="6">
        <v>39543750</v>
      </c>
      <c r="E43" s="26">
        <f>SUM(D43:D43)</f>
        <v>39543750</v>
      </c>
    </row>
    <row r="44" spans="1:5" x14ac:dyDescent="0.25">
      <c r="A44" s="18"/>
      <c r="B44" s="19"/>
      <c r="C44" s="19"/>
      <c r="D44" s="20"/>
      <c r="E44" s="20"/>
    </row>
    <row r="45" spans="1:5" x14ac:dyDescent="0.25">
      <c r="A45" s="21">
        <v>45636</v>
      </c>
      <c r="B45" s="22" t="s">
        <v>46</v>
      </c>
      <c r="C45" s="22" t="s">
        <v>47</v>
      </c>
      <c r="D45" s="6">
        <v>23726250</v>
      </c>
      <c r="E45" s="26">
        <f>SUM(D45:D45)</f>
        <v>23726250</v>
      </c>
    </row>
    <row r="46" spans="1:5" x14ac:dyDescent="0.25">
      <c r="A46" s="18"/>
      <c r="B46" s="19"/>
      <c r="C46" s="19"/>
      <c r="D46" s="20"/>
      <c r="E46" s="20"/>
    </row>
    <row r="47" spans="1:5" x14ac:dyDescent="0.25">
      <c r="A47" s="21">
        <v>45636</v>
      </c>
      <c r="B47" s="22" t="s">
        <v>48</v>
      </c>
      <c r="C47" s="22" t="s">
        <v>49</v>
      </c>
      <c r="D47" s="6">
        <v>9435000</v>
      </c>
      <c r="E47" s="26">
        <f>SUM(D47:D47)</f>
        <v>9435000</v>
      </c>
    </row>
    <row r="48" spans="1:5" x14ac:dyDescent="0.25">
      <c r="A48" s="18"/>
      <c r="B48" s="19"/>
      <c r="C48" s="19"/>
      <c r="D48" s="20"/>
      <c r="E48" s="20"/>
    </row>
    <row r="49" spans="1:5" x14ac:dyDescent="0.25">
      <c r="A49" s="21">
        <v>45636</v>
      </c>
      <c r="B49" s="22" t="s">
        <v>50</v>
      </c>
      <c r="C49" s="22" t="s">
        <v>51</v>
      </c>
      <c r="D49" s="6">
        <v>36630000</v>
      </c>
      <c r="E49" s="51">
        <f>SUM(D49:D51)</f>
        <v>228082800</v>
      </c>
    </row>
    <row r="50" spans="1:5" x14ac:dyDescent="0.25">
      <c r="A50" s="21">
        <v>45636</v>
      </c>
      <c r="B50" s="22" t="s">
        <v>52</v>
      </c>
      <c r="C50" s="22" t="s">
        <v>51</v>
      </c>
      <c r="D50" s="6">
        <v>74869500</v>
      </c>
      <c r="E50" s="47"/>
    </row>
    <row r="51" spans="1:5" x14ac:dyDescent="0.25">
      <c r="A51" s="21">
        <v>45645</v>
      </c>
      <c r="B51" s="22" t="s">
        <v>53</v>
      </c>
      <c r="C51" s="22" t="s">
        <v>51</v>
      </c>
      <c r="D51" s="6">
        <v>116583300</v>
      </c>
      <c r="E51" s="47"/>
    </row>
    <row r="52" spans="1:5" x14ac:dyDescent="0.25">
      <c r="A52" s="18"/>
      <c r="B52" s="19"/>
      <c r="C52" s="19"/>
      <c r="D52" s="20"/>
      <c r="E52" s="20"/>
    </row>
    <row r="53" spans="1:5" x14ac:dyDescent="0.25">
      <c r="A53" s="21">
        <v>45629</v>
      </c>
      <c r="B53" s="22" t="s">
        <v>54</v>
      </c>
      <c r="C53" s="22" t="s">
        <v>55</v>
      </c>
      <c r="D53" s="23">
        <v>51393000</v>
      </c>
      <c r="E53" s="51">
        <f>SUM(D53:D62)</f>
        <v>3588574500</v>
      </c>
    </row>
    <row r="54" spans="1:5" x14ac:dyDescent="0.25">
      <c r="A54" s="21">
        <v>45645</v>
      </c>
      <c r="B54" s="22" t="s">
        <v>64</v>
      </c>
      <c r="C54" s="22" t="s">
        <v>55</v>
      </c>
      <c r="D54" s="23">
        <v>23476500</v>
      </c>
      <c r="E54" s="47"/>
    </row>
    <row r="55" spans="1:5" x14ac:dyDescent="0.25">
      <c r="A55" s="21">
        <v>45650</v>
      </c>
      <c r="B55" s="22" t="s">
        <v>56</v>
      </c>
      <c r="C55" s="22" t="s">
        <v>55</v>
      </c>
      <c r="D55" s="23">
        <v>365356500</v>
      </c>
      <c r="E55" s="47"/>
    </row>
    <row r="56" spans="1:5" x14ac:dyDescent="0.25">
      <c r="A56" s="21">
        <v>45650</v>
      </c>
      <c r="B56" s="22" t="s">
        <v>57</v>
      </c>
      <c r="C56" s="22" t="s">
        <v>55</v>
      </c>
      <c r="D56" s="23">
        <v>664113000</v>
      </c>
      <c r="E56" s="47"/>
    </row>
    <row r="57" spans="1:5" x14ac:dyDescent="0.25">
      <c r="A57" s="21">
        <v>45650</v>
      </c>
      <c r="B57" s="22" t="s">
        <v>58</v>
      </c>
      <c r="C57" s="22" t="s">
        <v>55</v>
      </c>
      <c r="D57" s="23">
        <v>466644000</v>
      </c>
      <c r="E57" s="47"/>
    </row>
    <row r="58" spans="1:5" x14ac:dyDescent="0.25">
      <c r="A58" s="21">
        <v>45650</v>
      </c>
      <c r="B58" s="22" t="s">
        <v>59</v>
      </c>
      <c r="C58" s="22" t="s">
        <v>55</v>
      </c>
      <c r="D58" s="23">
        <v>532689000</v>
      </c>
      <c r="E58" s="47"/>
    </row>
    <row r="59" spans="1:5" x14ac:dyDescent="0.25">
      <c r="A59" s="21">
        <v>45650</v>
      </c>
      <c r="B59" s="22" t="s">
        <v>60</v>
      </c>
      <c r="C59" s="22" t="s">
        <v>55</v>
      </c>
      <c r="D59" s="23">
        <v>307803000</v>
      </c>
      <c r="E59" s="47"/>
    </row>
    <row r="60" spans="1:5" x14ac:dyDescent="0.25">
      <c r="A60" s="21">
        <v>45650</v>
      </c>
      <c r="B60" s="22" t="s">
        <v>61</v>
      </c>
      <c r="C60" s="22" t="s">
        <v>55</v>
      </c>
      <c r="D60" s="23">
        <v>696636000</v>
      </c>
      <c r="E60" s="47"/>
    </row>
    <row r="61" spans="1:5" x14ac:dyDescent="0.25">
      <c r="A61" s="21">
        <v>45650</v>
      </c>
      <c r="B61" s="22" t="s">
        <v>62</v>
      </c>
      <c r="C61" s="22" t="s">
        <v>55</v>
      </c>
      <c r="D61" s="23">
        <v>314019000</v>
      </c>
      <c r="E61" s="47"/>
    </row>
    <row r="62" spans="1:5" x14ac:dyDescent="0.25">
      <c r="A62" s="21">
        <v>45653</v>
      </c>
      <c r="B62" s="22" t="s">
        <v>63</v>
      </c>
      <c r="C62" s="22" t="s">
        <v>55</v>
      </c>
      <c r="D62" s="23">
        <v>166444500</v>
      </c>
      <c r="E62" s="47"/>
    </row>
    <row r="63" spans="1:5" x14ac:dyDescent="0.25">
      <c r="A63" s="18"/>
      <c r="B63" s="19"/>
      <c r="C63" s="19"/>
      <c r="D63" s="20"/>
      <c r="E63" s="20"/>
    </row>
    <row r="64" spans="1:5" x14ac:dyDescent="0.25">
      <c r="A64" s="21">
        <v>45646</v>
      </c>
      <c r="B64" s="22" t="s">
        <v>65</v>
      </c>
      <c r="C64" s="22" t="s">
        <v>66</v>
      </c>
      <c r="D64" s="6">
        <v>546525677</v>
      </c>
      <c r="E64" s="26">
        <f>SUM(D64:D64)</f>
        <v>546525677</v>
      </c>
    </row>
    <row r="65" spans="1:5" x14ac:dyDescent="0.25">
      <c r="A65" s="18"/>
      <c r="B65" s="19"/>
      <c r="C65" s="19"/>
      <c r="D65" s="20"/>
      <c r="E65" s="20"/>
    </row>
    <row r="66" spans="1:5" x14ac:dyDescent="0.25">
      <c r="A66" s="27"/>
      <c r="B66" s="22"/>
      <c r="C66" s="22"/>
      <c r="D66" s="22"/>
      <c r="E66" s="22"/>
    </row>
    <row r="67" spans="1:5" x14ac:dyDescent="0.25">
      <c r="A67" s="43" t="s">
        <v>34</v>
      </c>
      <c r="B67" s="44"/>
      <c r="C67" s="44"/>
      <c r="D67" s="45"/>
      <c r="E67" s="2">
        <f>SUM(E5:E66)</f>
        <v>6135710966</v>
      </c>
    </row>
    <row r="68" spans="1:5" x14ac:dyDescent="0.25">
      <c r="A68" s="28"/>
      <c r="B68" s="29"/>
      <c r="C68" s="29"/>
      <c r="D68" s="29"/>
      <c r="E68" s="29"/>
    </row>
    <row r="69" spans="1:5" x14ac:dyDescent="0.25">
      <c r="A69" s="28"/>
      <c r="B69" s="29"/>
      <c r="C69" s="29"/>
      <c r="D69" s="29"/>
      <c r="E69" s="29"/>
    </row>
  </sheetData>
  <mergeCells count="11">
    <mergeCell ref="E32:E35"/>
    <mergeCell ref="E37:E38"/>
    <mergeCell ref="A67:D67"/>
    <mergeCell ref="E40:E41"/>
    <mergeCell ref="E49:E51"/>
    <mergeCell ref="E53:E62"/>
    <mergeCell ref="E27:E28"/>
    <mergeCell ref="E16:E21"/>
    <mergeCell ref="A2:E3"/>
    <mergeCell ref="E5:E8"/>
    <mergeCell ref="E10:E12"/>
  </mergeCells>
  <pageMargins left="0.19685039370078741" right="0.19685039370078741" top="0.19685039370078741" bottom="0.19685039370078741" header="0.19685039370078741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2024</vt:lpstr>
      <vt:lpstr>NOV</vt:lpstr>
      <vt:lpstr>sep</vt:lpstr>
      <vt:lpstr>AGS</vt:lpstr>
      <vt:lpstr>JUL</vt:lpstr>
      <vt:lpstr>JUN</vt:lpstr>
      <vt:lpstr>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ENING</dc:creator>
  <cp:lastModifiedBy>gema</cp:lastModifiedBy>
  <cp:lastPrinted>2025-11-25T07:28:27Z</cp:lastPrinted>
  <dcterms:created xsi:type="dcterms:W3CDTF">2021-06-24T07:38:43Z</dcterms:created>
  <dcterms:modified xsi:type="dcterms:W3CDTF">2025-11-25T07:28:47Z</dcterms:modified>
</cp:coreProperties>
</file>