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F:\DATA GMT 2025\Penawaran 2025\"/>
    </mc:Choice>
  </mc:AlternateContent>
  <xr:revisionPtr revIDLastSave="0" documentId="13_ncr:1_{6F349246-473D-406C-A4A5-E27F552830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awaran Up (24)" sheetId="57" r:id="rId1"/>
    <sheet name="Penawaran Up (23)" sheetId="56" r:id="rId2"/>
    <sheet name="Penawaran Up (22)" sheetId="5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57" l="1"/>
  <c r="K44" i="57"/>
  <c r="K43" i="57"/>
  <c r="K45" i="57" s="1"/>
  <c r="K40" i="57"/>
  <c r="K39" i="57"/>
  <c r="K41" i="57" s="1"/>
  <c r="K36" i="57"/>
  <c r="K35" i="57"/>
  <c r="K37" i="57" s="1"/>
  <c r="K32" i="57"/>
  <c r="K31" i="57"/>
  <c r="K30" i="57"/>
  <c r="K27" i="57"/>
  <c r="K26" i="57"/>
  <c r="K25" i="57"/>
  <c r="K28" i="57" s="1"/>
  <c r="K22" i="57"/>
  <c r="K23" i="57" s="1"/>
  <c r="K46" i="57" s="1"/>
  <c r="K47" i="57" s="1"/>
  <c r="K48" i="57" l="1"/>
  <c r="K44" i="56"/>
  <c r="K43" i="56"/>
  <c r="K45" i="56" s="1"/>
  <c r="K40" i="56"/>
  <c r="K39" i="56"/>
  <c r="K36" i="56"/>
  <c r="K35" i="56"/>
  <c r="K37" i="56" s="1"/>
  <c r="K32" i="56"/>
  <c r="K31" i="56"/>
  <c r="K30" i="56"/>
  <c r="K27" i="56"/>
  <c r="K26" i="56"/>
  <c r="K25" i="56"/>
  <c r="K28" i="56" s="1"/>
  <c r="K22" i="56"/>
  <c r="K23" i="56" s="1"/>
  <c r="K33" i="56" l="1"/>
  <c r="K46" i="56" s="1"/>
  <c r="K41" i="56"/>
  <c r="K47" i="56" l="1"/>
  <c r="K48" i="56" s="1"/>
  <c r="K44" i="55"/>
  <c r="K43" i="55"/>
  <c r="K40" i="55"/>
  <c r="K39" i="55"/>
  <c r="K41" i="55" s="1"/>
  <c r="K36" i="55"/>
  <c r="K35" i="55"/>
  <c r="K37" i="55" s="1"/>
  <c r="K32" i="55"/>
  <c r="K33" i="55" s="1"/>
  <c r="K31" i="55"/>
  <c r="K30" i="55"/>
  <c r="K27" i="55"/>
  <c r="K28" i="55" s="1"/>
  <c r="K26" i="55"/>
  <c r="K25" i="55"/>
  <c r="K22" i="55"/>
  <c r="K23" i="55" s="1"/>
  <c r="K46" i="55" l="1"/>
  <c r="K45" i="55"/>
</calcChain>
</file>

<file path=xl/sharedStrings.xml><?xml version="1.0" encoding="utf-8"?>
<sst xmlns="http://schemas.openxmlformats.org/spreadsheetml/2006/main" count="422" uniqueCount="87">
  <si>
    <t>Rp</t>
  </si>
  <si>
    <t>Lot</t>
  </si>
  <si>
    <t>Orang</t>
  </si>
  <si>
    <t>Org/PP</t>
  </si>
  <si>
    <t>Hari</t>
  </si>
  <si>
    <t>Asuransi Pekerja</t>
  </si>
  <si>
    <t>-</t>
  </si>
  <si>
    <t>Hand Tool &amp; Consumable</t>
  </si>
  <si>
    <t>No                      :</t>
  </si>
  <si>
    <t>Kepada Yth ,</t>
  </si>
  <si>
    <t>Di</t>
  </si>
  <si>
    <t>Dengan hormat,</t>
  </si>
  <si>
    <t>No</t>
  </si>
  <si>
    <t>Keterangan</t>
  </si>
  <si>
    <t>Harga/Unit</t>
  </si>
  <si>
    <t>Jumlah</t>
  </si>
  <si>
    <t>Total harga</t>
  </si>
  <si>
    <t>I</t>
  </si>
  <si>
    <t>Jasa Kerja</t>
  </si>
  <si>
    <t>Total I</t>
  </si>
  <si>
    <t>II</t>
  </si>
  <si>
    <t>Hand Tool &amp; Safety Equipment</t>
  </si>
  <si>
    <t>Safety Equipment</t>
  </si>
  <si>
    <t>Total II</t>
  </si>
  <si>
    <t>III</t>
  </si>
  <si>
    <t>Equipment</t>
  </si>
  <si>
    <t>Total III</t>
  </si>
  <si>
    <t>IV</t>
  </si>
  <si>
    <t>Mob - Demob ( Manpower/Perlengkapan )</t>
  </si>
  <si>
    <t>Total IV</t>
  </si>
  <si>
    <t>V</t>
  </si>
  <si>
    <t xml:space="preserve">Akomodasi &amp; Lokal Transport </t>
  </si>
  <si>
    <t>Penginapan</t>
  </si>
  <si>
    <t>Makan</t>
  </si>
  <si>
    <t>Total V</t>
  </si>
  <si>
    <t>VI</t>
  </si>
  <si>
    <t>Lain - lain</t>
  </si>
  <si>
    <t>Total VI</t>
  </si>
  <si>
    <t xml:space="preserve">Total </t>
  </si>
  <si>
    <t>Catatan  :</t>
  </si>
  <si>
    <t xml:space="preserve">Demikian penawaran harga ini kami buat, atas kerjasamanya kami ucapkan terimakasih. </t>
  </si>
  <si>
    <t>Syamsudin</t>
  </si>
  <si>
    <t xml:space="preserve">U/P  : </t>
  </si>
  <si>
    <t>Begisting</t>
  </si>
  <si>
    <t>Mesin Mixer 1 Unit</t>
  </si>
  <si>
    <t>Jasa Pasang Refractory</t>
  </si>
  <si>
    <t>PT. Gema Teknik Perkasa</t>
  </si>
  <si>
    <t>penawaran jasa kerja Install Refractory sebagai berikut :</t>
  </si>
  <si>
    <t>Biaya Lain-lain</t>
  </si>
  <si>
    <t>Pekerjaan hanya meliputi pemasangan refractory baru.</t>
  </si>
  <si>
    <t>Mesin Vibrator 2 Unit</t>
  </si>
  <si>
    <t>Transport ManPower PP</t>
  </si>
  <si>
    <t>Transport Equipment PP</t>
  </si>
  <si>
    <t>DP 40 % Saat PO kami terima, sisanya setelah pekerjaan selesai.</t>
  </si>
  <si>
    <t>Perihal               :</t>
  </si>
  <si>
    <t>Grand Total</t>
  </si>
  <si>
    <t>Pekerja standby dikarenakan penundaan pekerjaan di proyek maka akan kami hitung kerja normal.</t>
  </si>
  <si>
    <t>Penawaran harga belum termasuk PPN 11%.</t>
  </si>
  <si>
    <t>PT. Halco Tehnik</t>
  </si>
  <si>
    <t>Bekasi</t>
  </si>
  <si>
    <t>Bapak Renaldi</t>
  </si>
  <si>
    <t>Sehubungan dengan rencana pekerjaan Install Refractory di PT. Halco Tehnik, maka dengan ini kami ajukan</t>
  </si>
  <si>
    <t>Mesin Las 1 Unit</t>
  </si>
  <si>
    <t>Lama pekerjaan 8 hari, apabila lebih dari 8 hari maka akan dikenakan biaya tambahan Rp. 5.000.000/hari.</t>
  </si>
  <si>
    <t>Pekerjaan casing/mekanikal jika ada dilakukan oleh PT. Halco Tehnik.</t>
  </si>
  <si>
    <t>Sumber air bersih, listrik 220 &amp; 380V beserta kabel di area kerja disediakan oleh PT. Halco Tehnik.</t>
  </si>
  <si>
    <t>Scafolding bila diperlukan disediakan oleh PT. Halco Tehnik.</t>
  </si>
  <si>
    <t>Pemasangan dan pembongkaran scaffolding dilakukan oleh PT. Halco Tehnik.</t>
  </si>
  <si>
    <t>Fork lift dan driver disediakan oleh PT. Halco Tehnik.</t>
  </si>
  <si>
    <t>Sarana Transportasi alat dan material di area kerja disediakan oleh PT. Halco Tehnik.</t>
  </si>
  <si>
    <t>Heating up, bahan bakar heating up dan supervisi heating up disediakan oleh PT. Halco Tehnik.</t>
  </si>
  <si>
    <t>Alat angkut vertical (Hoist/Winchy, Crane, Catrol) disediakan oleh PT. Halco Tehnik.</t>
  </si>
  <si>
    <t>Hydrotest apabila ada dilakukan oleh PT. Halco Tehnik.</t>
  </si>
  <si>
    <t>MCU apabila diperlukan disediakan oleh PT. Halco Tehnik.</t>
  </si>
  <si>
    <t>Inspector API 936 apabila diperlukan disediakan oleh PT. Halco Tehnik.</t>
  </si>
  <si>
    <t>Mekanik &amp; Electrik disediakan oleh PT. Halco Tehnik.</t>
  </si>
  <si>
    <t>Pekerjaan dilakukan di Cilegon - Banten.</t>
  </si>
  <si>
    <t>11/PEN/GMT/I/2025</t>
  </si>
  <si>
    <t>Revisi Penawaran Harga Jasa Install Refractory Convection Box Assy 3-F-02 RU VII</t>
  </si>
  <si>
    <t>Bekasi, 7 Januari 2025</t>
  </si>
  <si>
    <t>11A/PEN/GMT/I/2025</t>
  </si>
  <si>
    <t>Diskon 2.5%</t>
  </si>
  <si>
    <t>Bekasi, 22 Januari 2025</t>
  </si>
  <si>
    <t>Transport ManPower PP (2 kali PP)</t>
  </si>
  <si>
    <t>Lama pekerjaan 12 hari, apabila lebih dari 12 hari maka akan dikenakan biaya tambahan Rp. 5.000.000/hari.</t>
  </si>
  <si>
    <t>11B/PEN/GMT/IV/2025</t>
  </si>
  <si>
    <t>Bekasi, 11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</si>
</sst>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_ ;_ @_ "/>
  </numFmts>
  <fonts count="17">
    <font>
      <sz val="10"/>
      <color rgb="FF000000"/>
      <name val="Arial"/>
    </font>
    <font>
      <b/>
      <sz val="10"/>
      <color rgb="FF000000"/>
      <name val="Arial"/>
      <family val="2"/>
    </font>
    <font>
      <b/>
      <i/>
      <sz val="14"/>
      <color rgb="FF000000"/>
      <name val="Book Antiqua"/>
      <family val="1"/>
    </font>
    <font>
      <i/>
      <sz val="10"/>
      <color rgb="FF000000"/>
      <name val="Arial"/>
      <family val="2"/>
    </font>
    <font>
      <b/>
      <i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9"/>
      <color rgb="FF000000"/>
      <name val="Book Antiqua"/>
      <family val="1"/>
    </font>
    <font>
      <sz val="9"/>
      <color rgb="FF000000"/>
      <name val="Arial"/>
      <family val="2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b/>
      <sz val="9"/>
      <color rgb="FF000000"/>
      <name val="Book Antiqua"/>
      <family val="1"/>
    </font>
    <font>
      <sz val="10"/>
      <color rgb="FF000000"/>
      <name val="Arial"/>
      <family val="2"/>
    </font>
    <font>
      <u/>
      <sz val="10"/>
      <color rgb="FF000000"/>
      <name val="Book Antiqua"/>
      <family val="1"/>
    </font>
    <font>
      <sz val="12"/>
      <color rgb="FF000000"/>
      <name val="Times New Roman"/>
      <family val="1"/>
    </font>
    <font>
      <sz val="10"/>
      <color rgb="FF000000"/>
      <name val="Book Antiqua"/>
      <family val="1"/>
    </font>
    <font>
      <sz val="10"/>
      <name val="Book Antiqua"/>
      <family val="1"/>
      <charset val="134"/>
    </font>
    <font>
      <sz val="10"/>
      <color indexed="8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</cellStyleXfs>
  <cellXfs count="11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readingOrder="2"/>
    </xf>
    <xf numFmtId="0" fontId="5" fillId="0" borderId="0" xfId="0" applyFont="1" applyAlignment="1">
      <alignment horizontal="left" readingOrder="2"/>
    </xf>
    <xf numFmtId="0" fontId="0" fillId="0" borderId="1" xfId="0" applyBorder="1" applyAlignment="1"/>
    <xf numFmtId="0" fontId="11" fillId="0" borderId="0" xfId="0" applyFont="1" applyAlignment="1"/>
    <xf numFmtId="0" fontId="8" fillId="0" borderId="0" xfId="0" applyFont="1" applyAlignment="1"/>
    <xf numFmtId="164" fontId="0" fillId="0" borderId="0" xfId="0" applyNumberFormat="1" applyAlignment="1"/>
    <xf numFmtId="41" fontId="11" fillId="0" borderId="0" xfId="2" applyNumberFormat="1" applyFont="1" applyAlignment="1"/>
    <xf numFmtId="0" fontId="8" fillId="0" borderId="0" xfId="0" applyFont="1" applyAlignment="1">
      <alignment horizontal="center"/>
    </xf>
    <xf numFmtId="0" fontId="11" fillId="0" borderId="0" xfId="0" applyFont="1" applyBorder="1" applyAlignme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4" fontId="9" fillId="0" borderId="6" xfId="1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8" fillId="0" borderId="9" xfId="1" applyNumberFormat="1" applyFont="1" applyBorder="1" applyAlignment="1">
      <alignment vertical="center"/>
    </xf>
    <xf numFmtId="164" fontId="8" fillId="0" borderId="10" xfId="1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8" fillId="0" borderId="9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41" fontId="8" fillId="0" borderId="8" xfId="2" applyNumberFormat="1" applyFont="1" applyBorder="1" applyAlignment="1">
      <alignment vertical="center"/>
    </xf>
    <xf numFmtId="41" fontId="8" fillId="0" borderId="6" xfId="2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4" fontId="9" fillId="0" borderId="8" xfId="1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1" xfId="0" applyFont="1" applyBorder="1" applyAlignment="1">
      <alignment horizontal="right" vertical="center"/>
    </xf>
    <xf numFmtId="164" fontId="8" fillId="0" borderId="15" xfId="0" applyNumberFormat="1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64" fontId="8" fillId="0" borderId="8" xfId="1" applyNumberFormat="1" applyFont="1" applyBorder="1" applyAlignment="1">
      <alignment vertical="center"/>
    </xf>
    <xf numFmtId="164" fontId="8" fillId="0" borderId="0" xfId="1" applyNumberFormat="1" applyFont="1" applyAlignment="1">
      <alignment vertical="center"/>
    </xf>
    <xf numFmtId="0" fontId="14" fillId="0" borderId="10" xfId="0" applyFont="1" applyBorder="1" applyAlignment="1">
      <alignment vertical="center"/>
    </xf>
    <xf numFmtId="0" fontId="0" fillId="0" borderId="16" xfId="0" applyBorder="1" applyAlignment="1">
      <alignment vertical="center"/>
    </xf>
    <xf numFmtId="164" fontId="14" fillId="0" borderId="9" xfId="1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164" fontId="8" fillId="0" borderId="7" xfId="1" applyNumberFormat="1" applyFont="1" applyBorder="1" applyAlignment="1">
      <alignment vertical="center"/>
    </xf>
    <xf numFmtId="164" fontId="9" fillId="0" borderId="9" xfId="1" applyNumberFormat="1" applyFont="1" applyBorder="1" applyAlignment="1">
      <alignment vertical="center"/>
    </xf>
    <xf numFmtId="164" fontId="8" fillId="0" borderId="9" xfId="1" applyNumberFormat="1" applyFont="1" applyBorder="1" applyAlignment="1">
      <alignment horizontal="right" vertical="center"/>
    </xf>
    <xf numFmtId="164" fontId="9" fillId="0" borderId="8" xfId="1" applyNumberFormat="1" applyFont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64" fontId="8" fillId="0" borderId="0" xfId="1" applyNumberFormat="1" applyFont="1" applyBorder="1" applyAlignment="1">
      <alignment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64" fontId="8" fillId="0" borderId="15" xfId="1" applyNumberFormat="1" applyFont="1" applyBorder="1" applyAlignment="1">
      <alignment vertical="center"/>
    </xf>
    <xf numFmtId="164" fontId="8" fillId="0" borderId="14" xfId="1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4" fontId="15" fillId="0" borderId="16" xfId="1" applyNumberFormat="1" applyFont="1" applyBorder="1" applyAlignment="1">
      <alignment vertical="center"/>
    </xf>
    <xf numFmtId="164" fontId="15" fillId="0" borderId="0" xfId="1" applyNumberFormat="1" applyFont="1" applyAlignment="1">
      <alignment vertical="center"/>
    </xf>
    <xf numFmtId="0" fontId="15" fillId="0" borderId="17" xfId="0" applyFont="1" applyBorder="1" applyAlignment="1">
      <alignment vertical="center"/>
    </xf>
    <xf numFmtId="0" fontId="8" fillId="0" borderId="7" xfId="0" applyFont="1" applyBorder="1" applyAlignment="1">
      <alignment horizontal="right" vertical="center"/>
    </xf>
    <xf numFmtId="164" fontId="8" fillId="0" borderId="3" xfId="1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4" fontId="9" fillId="0" borderId="5" xfId="1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9" fillId="0" borderId="7" xfId="1" applyNumberFormat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9" fillId="0" borderId="0" xfId="1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164" fontId="9" fillId="0" borderId="7" xfId="1" applyNumberFormat="1" applyFont="1" applyBorder="1" applyAlignment="1">
      <alignment horizontal="right" vertical="center"/>
    </xf>
    <xf numFmtId="164" fontId="9" fillId="0" borderId="6" xfId="1" applyNumberFormat="1" applyFont="1" applyBorder="1" applyAlignment="1">
      <alignment vertical="center"/>
    </xf>
    <xf numFmtId="164" fontId="9" fillId="0" borderId="13" xfId="1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64" fontId="9" fillId="0" borderId="15" xfId="1" applyNumberFormat="1" applyFont="1" applyBorder="1" applyAlignment="1">
      <alignment horizontal="right" vertical="center"/>
    </xf>
    <xf numFmtId="164" fontId="9" fillId="0" borderId="0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0" fontId="16" fillId="0" borderId="0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164" fontId="9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4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OImage-1834027951.emf"/><Relationship Id="rId7" Type="http://schemas.openxmlformats.org/officeDocument/2006/relationships/image" Target="../media/OImage-1832475471.emf"/><Relationship Id="rId2" Type="http://schemas.openxmlformats.org/officeDocument/2006/relationships/customXml" Target="../ink/ink1.xml"/><Relationship Id="rId1" Type="http://schemas.openxmlformats.org/officeDocument/2006/relationships/image" Target="../media/image1.jpeg"/><Relationship Id="rId6" Type="http://schemas.openxmlformats.org/officeDocument/2006/relationships/customXml" Target="../ink/ink3.xml"/><Relationship Id="rId5" Type="http://schemas.openxmlformats.org/officeDocument/2006/relationships/image" Target="../media/OImage-1838496479.emf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OImage-1834027951.emf"/><Relationship Id="rId7" Type="http://schemas.openxmlformats.org/officeDocument/2006/relationships/image" Target="../media/OImage-1832475471.emf"/><Relationship Id="rId2" Type="http://schemas.openxmlformats.org/officeDocument/2006/relationships/customXml" Target="../ink/ink4.xml"/><Relationship Id="rId1" Type="http://schemas.openxmlformats.org/officeDocument/2006/relationships/image" Target="../media/image1.jpeg"/><Relationship Id="rId6" Type="http://schemas.openxmlformats.org/officeDocument/2006/relationships/customXml" Target="../ink/ink6.xml"/><Relationship Id="rId5" Type="http://schemas.openxmlformats.org/officeDocument/2006/relationships/image" Target="../media/OImage-1838496479.emf"/><Relationship Id="rId4" Type="http://schemas.openxmlformats.org/officeDocument/2006/relationships/customXml" Target="../ink/ink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OImage-1834027951.emf"/><Relationship Id="rId7" Type="http://schemas.openxmlformats.org/officeDocument/2006/relationships/image" Target="../media/OImage-1832475471.emf"/><Relationship Id="rId2" Type="http://schemas.openxmlformats.org/officeDocument/2006/relationships/customXml" Target="../ink/ink7.xml"/><Relationship Id="rId1" Type="http://schemas.openxmlformats.org/officeDocument/2006/relationships/image" Target="../media/image1.jpeg"/><Relationship Id="rId6" Type="http://schemas.openxmlformats.org/officeDocument/2006/relationships/customXml" Target="../ink/ink9.xml"/><Relationship Id="rId5" Type="http://schemas.openxmlformats.org/officeDocument/2006/relationships/image" Target="../media/OImage-1838496479.emf"/><Relationship Id="rId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0</xdr:colOff>
      <xdr:row>0</xdr:row>
      <xdr:rowOff>142875</xdr:rowOff>
    </xdr:from>
    <xdr:to>
      <xdr:col>2</xdr:col>
      <xdr:colOff>114300</xdr:colOff>
      <xdr:row>4</xdr:row>
      <xdr:rowOff>104775</xdr:rowOff>
    </xdr:to>
    <xdr:pic>
      <xdr:nvPicPr>
        <xdr:cNvPr id="4" name="Picture 4" descr="xl/media/image1.jpe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875"/>
          <a:ext cx="1038225" cy="7239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180975</xdr:colOff>
      <xdr:row>0</xdr:row>
      <xdr:rowOff>9525</xdr:rowOff>
    </xdr:from>
    <xdr:to>
      <xdr:col>11</xdr:col>
      <xdr:colOff>0</xdr:colOff>
      <xdr:row>5</xdr:row>
      <xdr:rowOff>142875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/>
        </xdr:cNvSpPr>
      </xdr:nvSpPr>
      <xdr:spPr>
        <a:xfrm>
          <a:off x="1104900" y="9525"/>
          <a:ext cx="4895850" cy="1085850"/>
        </a:xfrm>
        <a:prstGeom prst="rect">
          <a:avLst/>
        </a:prstGeom>
        <a:solidFill>
          <a:srgbClr val="FFFFFF"/>
        </a:solidFill>
        <a:ln w="0" cap="flat" cmpd="sng">
          <a:noFill/>
          <a:prstDash/>
        </a:ln>
      </xdr:spPr>
      <xdr:txBody>
        <a:bodyPr vertOverflow="clip" wrap="square" lIns="36830" tIns="31750" rIns="0" bIns="0" anchor="t"/>
        <a:lstStyle/>
        <a:p>
          <a:pPr algn="l">
            <a:buFontTx/>
            <a:buNone/>
          </a:pPr>
          <a:r>
            <a:rPr lang="ko-KR" altLang="en-US" sz="1400" i="1" dirty="0">
              <a:solidFill>
                <a:srgbClr val="000000"/>
              </a:solidFill>
              <a:latin typeface="Book Antiqua"/>
              <a:ea typeface="Book Antiqua"/>
            </a:rPr>
            <a:t>GEMA TEKNIK </a:t>
          </a:r>
          <a:r>
            <a:rPr lang="en-US" altLang="ko-KR" sz="1400" i="1" dirty="0">
              <a:solidFill>
                <a:srgbClr val="000000"/>
              </a:solidFill>
              <a:latin typeface="Book Antiqua"/>
              <a:ea typeface="Book Antiqua"/>
            </a:rPr>
            <a:t>PERKASA</a:t>
          </a:r>
          <a:endParaRPr lang="ko-KR" altLang="en-US" sz="14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REFRACTORY FURNACE AND BOILER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JL. Nurushoba II No 13 Setia Mekar Tambun Selatan Bekasi 17510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Phone : 0</a:t>
          </a: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85100</a:t>
          </a: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420221 , 021.88354139  Fax : 021.88354139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Email  : 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gemateknik@gmail.com</a:t>
          </a:r>
          <a:endParaRPr lang="ko-KR" altLang="en-US" sz="10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Website</a:t>
          </a:r>
          <a:r>
            <a:rPr lang="id-ID" altLang="ko-KR" sz="1000" i="1" baseline="0" dirty="0">
              <a:solidFill>
                <a:srgbClr val="000000"/>
              </a:solidFill>
              <a:latin typeface="Book Antiqua"/>
              <a:ea typeface="Book Antiqua"/>
            </a:rPr>
            <a:t> : </a:t>
          </a:r>
          <a:r>
            <a:rPr lang="id-ID" altLang="ko-KR" sz="1000" i="1" baseline="0" dirty="0">
              <a:solidFill>
                <a:srgbClr val="0000FF"/>
              </a:solidFill>
              <a:latin typeface="Book Antiqua"/>
              <a:ea typeface="Book Antiqua"/>
            </a:rPr>
            <a:t>www.gemateknik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.co.id</a:t>
          </a:r>
          <a:endParaRPr lang="ko-KR" altLang="en-US" sz="1000" dirty="0">
            <a:solidFill>
              <a:srgbClr val="0000FF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0</xdr:col>
      <xdr:colOff>66675</xdr:colOff>
      <xdr:row>69</xdr:row>
      <xdr:rowOff>38100</xdr:rowOff>
    </xdr:from>
    <xdr:to>
      <xdr:col>1</xdr:col>
      <xdr:colOff>586468</xdr:colOff>
      <xdr:row>72</xdr:row>
      <xdr:rowOff>149678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6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14:cNvPr>
            <xdr14:cNvContentPartPr/>
          </xdr14:nvContentPartPr>
          <xdr14:nvPr macro=""/>
          <xdr14:xfrm>
            <a:off x="66675" y="16992600"/>
            <a:ext cx="843643" cy="625928"/>
          </xdr14:xfrm>
        </xdr:contentPart>
      </mc:Choice>
      <mc:Fallback xmlns="">
        <xdr:pic>
          <xdr:nvPicPr>
            <xdr:cNvPr id="6" name="Ink 6"/>
            <xdr:cNvPicPr>
              <a:picLocks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0" y="17032605"/>
              <a:ext cx="1114425" cy="716280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209550</xdr:colOff>
      <xdr:row>71</xdr:row>
      <xdr:rowOff>57150</xdr:rowOff>
    </xdr:from>
    <xdr:to>
      <xdr:col>1</xdr:col>
      <xdr:colOff>404689</xdr:colOff>
      <xdr:row>72</xdr:row>
      <xdr:rowOff>73171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7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14:cNvPr>
            <xdr14:cNvContentPartPr/>
          </xdr14:nvContentPartPr>
          <xdr14:nvPr macro=""/>
          <xdr14:xfrm>
            <a:off x="533400" y="17354550"/>
            <a:ext cx="195139" cy="187471"/>
          </xdr14:xfrm>
        </xdr:contentPart>
      </mc:Choice>
      <mc:Fallback xmlns="">
        <xdr:pic>
          <xdr:nvPicPr>
            <xdr:cNvPr id="7" name="Ink 7"/>
            <xdr:cNvPicPr>
              <a:picLocks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541020" y="17400270"/>
              <a:ext cx="198120" cy="188595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276225</xdr:colOff>
      <xdr:row>71</xdr:row>
      <xdr:rowOff>161925</xdr:rowOff>
    </xdr:from>
    <xdr:to>
      <xdr:col>1</xdr:col>
      <xdr:colOff>401515</xdr:colOff>
      <xdr:row>72</xdr:row>
      <xdr:rowOff>118256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8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14:cNvPr>
            <xdr14:cNvContentPartPr/>
          </xdr14:nvContentPartPr>
          <xdr14:nvPr macro=""/>
          <xdr14:xfrm>
            <a:off x="600075" y="17459325"/>
            <a:ext cx="125290" cy="127781"/>
          </xdr14:xfrm>
        </xdr:contentPart>
      </mc:Choice>
      <mc:Fallback xmlns="">
        <xdr:pic>
          <xdr:nvPicPr>
            <xdr:cNvPr id="8" name="Ink 8"/>
            <xdr:cNvPicPr>
              <a:picLocks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651510" y="17432655"/>
              <a:ext cx="129540" cy="131445"/>
            </a:xfrm>
            <a:prstGeom prst="rect"/>
            <a:noFill/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0</xdr:colOff>
      <xdr:row>0</xdr:row>
      <xdr:rowOff>142875</xdr:rowOff>
    </xdr:from>
    <xdr:to>
      <xdr:col>2</xdr:col>
      <xdr:colOff>114300</xdr:colOff>
      <xdr:row>4</xdr:row>
      <xdr:rowOff>104775</xdr:rowOff>
    </xdr:to>
    <xdr:pic>
      <xdr:nvPicPr>
        <xdr:cNvPr id="4" name="Picture 4" descr="xl/media/image1.jpe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875"/>
          <a:ext cx="1038225" cy="7239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180975</xdr:colOff>
      <xdr:row>0</xdr:row>
      <xdr:rowOff>9525</xdr:rowOff>
    </xdr:from>
    <xdr:to>
      <xdr:col>11</xdr:col>
      <xdr:colOff>0</xdr:colOff>
      <xdr:row>5</xdr:row>
      <xdr:rowOff>142875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/>
        </xdr:cNvSpPr>
      </xdr:nvSpPr>
      <xdr:spPr>
        <a:xfrm>
          <a:off x="1104900" y="9525"/>
          <a:ext cx="4895850" cy="1085850"/>
        </a:xfrm>
        <a:prstGeom prst="rect">
          <a:avLst/>
        </a:prstGeom>
        <a:solidFill>
          <a:srgbClr val="FFFFFF"/>
        </a:solidFill>
        <a:ln w="0" cap="flat" cmpd="sng">
          <a:noFill/>
          <a:prstDash/>
        </a:ln>
      </xdr:spPr>
      <xdr:txBody>
        <a:bodyPr vertOverflow="clip" wrap="square" lIns="36830" tIns="31750" rIns="0" bIns="0" anchor="t"/>
        <a:lstStyle/>
        <a:p>
          <a:pPr algn="l">
            <a:buFontTx/>
            <a:buNone/>
          </a:pPr>
          <a:r>
            <a:rPr lang="ko-KR" altLang="en-US" sz="1400" i="1" dirty="0">
              <a:solidFill>
                <a:srgbClr val="000000"/>
              </a:solidFill>
              <a:latin typeface="Book Antiqua"/>
              <a:ea typeface="Book Antiqua"/>
            </a:rPr>
            <a:t>GEMA TEKNIK </a:t>
          </a:r>
          <a:r>
            <a:rPr lang="en-US" altLang="ko-KR" sz="1400" i="1" dirty="0">
              <a:solidFill>
                <a:srgbClr val="000000"/>
              </a:solidFill>
              <a:latin typeface="Book Antiqua"/>
              <a:ea typeface="Book Antiqua"/>
            </a:rPr>
            <a:t>PERKASA</a:t>
          </a:r>
          <a:endParaRPr lang="ko-KR" altLang="en-US" sz="14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REFRACTORY FURNACE AND BOILER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JL. Nurushoba II No 13 Setia Mekar Tambun Selatan Bekasi 17510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Phone : 0</a:t>
          </a: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85100</a:t>
          </a: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420221 , 021.88354139  Fax : 021.88354139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Email  : 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gemateknik@gmail.com</a:t>
          </a:r>
          <a:endParaRPr lang="ko-KR" altLang="en-US" sz="10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Website</a:t>
          </a:r>
          <a:r>
            <a:rPr lang="id-ID" altLang="ko-KR" sz="1000" i="1" baseline="0" dirty="0">
              <a:solidFill>
                <a:srgbClr val="000000"/>
              </a:solidFill>
              <a:latin typeface="Book Antiqua"/>
              <a:ea typeface="Book Antiqua"/>
            </a:rPr>
            <a:t> : </a:t>
          </a:r>
          <a:r>
            <a:rPr lang="id-ID" altLang="ko-KR" sz="1000" i="1" baseline="0" dirty="0">
              <a:solidFill>
                <a:srgbClr val="0000FF"/>
              </a:solidFill>
              <a:latin typeface="Book Antiqua"/>
              <a:ea typeface="Book Antiqua"/>
            </a:rPr>
            <a:t>www.gemateknik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.co.id</a:t>
          </a:r>
          <a:endParaRPr lang="ko-KR" altLang="en-US" sz="1000" dirty="0">
            <a:solidFill>
              <a:srgbClr val="0000FF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0</xdr:col>
      <xdr:colOff>66675</xdr:colOff>
      <xdr:row>69</xdr:row>
      <xdr:rowOff>38100</xdr:rowOff>
    </xdr:from>
    <xdr:to>
      <xdr:col>1</xdr:col>
      <xdr:colOff>586468</xdr:colOff>
      <xdr:row>72</xdr:row>
      <xdr:rowOff>149678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6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14:cNvPr>
            <xdr14:cNvContentPartPr/>
          </xdr14:nvContentPartPr>
          <xdr14:nvPr macro=""/>
          <xdr14:xfrm>
            <a:off x="66675" y="16992600"/>
            <a:ext cx="843643" cy="625928"/>
          </xdr14:xfrm>
        </xdr:contentPart>
      </mc:Choice>
      <mc:Fallback xmlns="">
        <xdr:pic>
          <xdr:nvPicPr>
            <xdr:cNvPr id="6" name="Ink 6"/>
            <xdr:cNvPicPr>
              <a:picLocks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0" y="17032605"/>
              <a:ext cx="1114425" cy="716280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209550</xdr:colOff>
      <xdr:row>71</xdr:row>
      <xdr:rowOff>57150</xdr:rowOff>
    </xdr:from>
    <xdr:to>
      <xdr:col>1</xdr:col>
      <xdr:colOff>404689</xdr:colOff>
      <xdr:row>72</xdr:row>
      <xdr:rowOff>73171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7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14:cNvPr>
            <xdr14:cNvContentPartPr/>
          </xdr14:nvContentPartPr>
          <xdr14:nvPr macro=""/>
          <xdr14:xfrm>
            <a:off x="533400" y="17354550"/>
            <a:ext cx="195139" cy="187471"/>
          </xdr14:xfrm>
        </xdr:contentPart>
      </mc:Choice>
      <mc:Fallback xmlns="">
        <xdr:pic>
          <xdr:nvPicPr>
            <xdr:cNvPr id="7" name="Ink 7"/>
            <xdr:cNvPicPr>
              <a:picLocks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541020" y="17400270"/>
              <a:ext cx="198120" cy="188595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276225</xdr:colOff>
      <xdr:row>71</xdr:row>
      <xdr:rowOff>161925</xdr:rowOff>
    </xdr:from>
    <xdr:to>
      <xdr:col>1</xdr:col>
      <xdr:colOff>401515</xdr:colOff>
      <xdr:row>72</xdr:row>
      <xdr:rowOff>118256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8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14:cNvPr>
            <xdr14:cNvContentPartPr/>
          </xdr14:nvContentPartPr>
          <xdr14:nvPr macro=""/>
          <xdr14:xfrm>
            <a:off x="600075" y="17459325"/>
            <a:ext cx="125290" cy="127781"/>
          </xdr14:xfrm>
        </xdr:contentPart>
      </mc:Choice>
      <mc:Fallback xmlns="">
        <xdr:pic>
          <xdr:nvPicPr>
            <xdr:cNvPr id="8" name="Ink 8"/>
            <xdr:cNvPicPr>
              <a:picLocks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651510" y="17432655"/>
              <a:ext cx="129540" cy="131445"/>
            </a:xfrm>
            <a:prstGeom prst="rect"/>
            <a:noFill/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28575</xdr:colOff>
      <xdr:row>1</xdr:row>
      <xdr:rowOff>104775</xdr:rowOff>
    </xdr:from>
    <xdr:to>
      <xdr:col>0</xdr:col>
      <xdr:colOff>381000</xdr:colOff>
      <xdr:row>3</xdr:row>
      <xdr:rowOff>47625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/>
        </xdr:cNvSpPr>
      </xdr:nvSpPr>
      <xdr:spPr>
        <a:xfrm>
          <a:off x="28575" y="266700"/>
          <a:ext cx="295275" cy="352425"/>
        </a:xfrm>
        <a:prstGeom prst="rect">
          <a:avLst/>
        </a:prstGeom>
      </xdr:spPr>
      <xdr:txBody>
        <a:bodyPr wrap="none" lIns="91440" tIns="45720" rIns="91440" bIns="45720" anchor="t">
          <a:prstTxWarp prst="textPlain">
            <a:avLst/>
          </a:prstTxWarp>
        </a:bodyPr>
        <a:lstStyle/>
        <a:p>
          <a:pPr algn="ctr">
            <a:buFontTx/>
            <a:buNone/>
          </a:pPr>
          <a:r>
            <a:rPr lang="ko-KR" altLang="en-US" sz="1800" b="1" i="1" dirty="0">
              <a:ln w="9525" cmpd="sng">
                <a:solidFill>
                  <a:srgbClr val="000000"/>
                </a:solidFill>
                <a:round/>
                <a:headEnd type="none" w="med" len="med"/>
                <a:tailEnd type="none" w="med" len="med"/>
              </a:ln>
              <a:solidFill>
                <a:srgbClr val="0000FF"/>
              </a:solidFill>
              <a:latin typeface="Arial Black"/>
              <a:ea typeface="Arial Black"/>
            </a:rPr>
            <a:t>GM</a:t>
          </a:r>
        </a:p>
      </xdr:txBody>
    </xdr:sp>
    <xdr:clientData/>
  </xdr:twoCellAnchor>
  <xdr:twoCellAnchor>
    <xdr:from>
      <xdr:col>0</xdr:col>
      <xdr:colOff>0</xdr:colOff>
      <xdr:row>0</xdr:row>
      <xdr:rowOff>142875</xdr:rowOff>
    </xdr:from>
    <xdr:to>
      <xdr:col>2</xdr:col>
      <xdr:colOff>114300</xdr:colOff>
      <xdr:row>4</xdr:row>
      <xdr:rowOff>104775</xdr:rowOff>
    </xdr:to>
    <xdr:pic>
      <xdr:nvPicPr>
        <xdr:cNvPr id="4" name="Picture 4" descr="xl/media/image1.jpe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875"/>
          <a:ext cx="1038225" cy="7239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180975</xdr:colOff>
      <xdr:row>0</xdr:row>
      <xdr:rowOff>9525</xdr:rowOff>
    </xdr:from>
    <xdr:to>
      <xdr:col>11</xdr:col>
      <xdr:colOff>0</xdr:colOff>
      <xdr:row>5</xdr:row>
      <xdr:rowOff>142875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/>
        </xdr:cNvSpPr>
      </xdr:nvSpPr>
      <xdr:spPr>
        <a:xfrm>
          <a:off x="1104900" y="9525"/>
          <a:ext cx="4895850" cy="1085850"/>
        </a:xfrm>
        <a:prstGeom prst="rect">
          <a:avLst/>
        </a:prstGeom>
        <a:solidFill>
          <a:srgbClr val="FFFFFF"/>
        </a:solidFill>
        <a:ln w="0" cap="flat" cmpd="sng">
          <a:noFill/>
          <a:prstDash/>
        </a:ln>
      </xdr:spPr>
      <xdr:txBody>
        <a:bodyPr vertOverflow="clip" wrap="square" lIns="36830" tIns="31750" rIns="0" bIns="0" anchor="t"/>
        <a:lstStyle/>
        <a:p>
          <a:pPr algn="l">
            <a:buFontTx/>
            <a:buNone/>
          </a:pPr>
          <a:r>
            <a:rPr lang="ko-KR" altLang="en-US" sz="1400" i="1" dirty="0">
              <a:solidFill>
                <a:srgbClr val="000000"/>
              </a:solidFill>
              <a:latin typeface="Book Antiqua"/>
              <a:ea typeface="Book Antiqua"/>
            </a:rPr>
            <a:t>GEMA TEKNIK </a:t>
          </a:r>
          <a:r>
            <a:rPr lang="en-US" altLang="ko-KR" sz="1400" i="1" dirty="0">
              <a:solidFill>
                <a:srgbClr val="000000"/>
              </a:solidFill>
              <a:latin typeface="Book Antiqua"/>
              <a:ea typeface="Book Antiqua"/>
            </a:rPr>
            <a:t>PERKASA</a:t>
          </a:r>
          <a:endParaRPr lang="ko-KR" altLang="en-US" sz="14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REFRACTORY FURNACE AND BOILER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JL. Nurushoba II No 13 Setia Mekar Tambun Selatan Bekasi 17510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Phone : 0</a:t>
          </a: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85100</a:t>
          </a: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420221 , 021.88354139  Fax : 021.88354139</a:t>
          </a:r>
        </a:p>
        <a:p>
          <a:pPr algn="l">
            <a:buFontTx/>
            <a:buNone/>
          </a:pPr>
          <a:r>
            <a:rPr lang="ko-KR" altLang="en-US" sz="1000" i="1" dirty="0">
              <a:solidFill>
                <a:srgbClr val="000000"/>
              </a:solidFill>
              <a:latin typeface="Book Antiqua"/>
              <a:ea typeface="Book Antiqua"/>
            </a:rPr>
            <a:t>Email  : 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gemateknik@gmail.com</a:t>
          </a:r>
          <a:endParaRPr lang="ko-KR" altLang="en-US" sz="1000" i="1" dirty="0">
            <a:solidFill>
              <a:srgbClr val="000000"/>
            </a:solidFill>
            <a:latin typeface="Book Antiqua"/>
            <a:ea typeface="Book Antiqua"/>
          </a:endParaRPr>
        </a:p>
        <a:p>
          <a:pPr algn="l">
            <a:buFontTx/>
            <a:buNone/>
          </a:pPr>
          <a:r>
            <a:rPr lang="id-ID" altLang="ko-KR" sz="1000" i="1" dirty="0">
              <a:solidFill>
                <a:srgbClr val="000000"/>
              </a:solidFill>
              <a:latin typeface="Book Antiqua"/>
              <a:ea typeface="Book Antiqua"/>
            </a:rPr>
            <a:t>Website</a:t>
          </a:r>
          <a:r>
            <a:rPr lang="id-ID" altLang="ko-KR" sz="1000" i="1" baseline="0" dirty="0">
              <a:solidFill>
                <a:srgbClr val="000000"/>
              </a:solidFill>
              <a:latin typeface="Book Antiqua"/>
              <a:ea typeface="Book Antiqua"/>
            </a:rPr>
            <a:t> : </a:t>
          </a:r>
          <a:r>
            <a:rPr lang="id-ID" altLang="ko-KR" sz="1000" i="1" baseline="0" dirty="0">
              <a:solidFill>
                <a:srgbClr val="0000FF"/>
              </a:solidFill>
              <a:latin typeface="Book Antiqua"/>
              <a:ea typeface="Book Antiqua"/>
            </a:rPr>
            <a:t>www.gemateknik</a:t>
          </a:r>
          <a:r>
            <a:rPr lang="ko-KR" altLang="en-US" sz="1000" i="1" dirty="0">
              <a:solidFill>
                <a:srgbClr val="0000FF"/>
              </a:solidFill>
              <a:latin typeface="Book Antiqua"/>
              <a:ea typeface="Book Antiqua"/>
            </a:rPr>
            <a:t>.co.id</a:t>
          </a:r>
          <a:endParaRPr lang="ko-KR" altLang="en-US" sz="1000" dirty="0">
            <a:solidFill>
              <a:srgbClr val="0000FF"/>
            </a:solidFill>
            <a:latin typeface="Arial"/>
            <a:ea typeface="Arial"/>
          </a:endParaRPr>
        </a:p>
      </xdr:txBody>
    </xdr:sp>
    <xdr:clientData/>
  </xdr:twoCellAnchor>
  <xdr:twoCellAnchor>
    <xdr:from>
      <xdr:col>0</xdr:col>
      <xdr:colOff>66675</xdr:colOff>
      <xdr:row>69</xdr:row>
      <xdr:rowOff>38100</xdr:rowOff>
    </xdr:from>
    <xdr:to>
      <xdr:col>1</xdr:col>
      <xdr:colOff>586468</xdr:colOff>
      <xdr:row>72</xdr:row>
      <xdr:rowOff>149678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6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14:cNvPr>
            <xdr14:cNvContentPartPr/>
          </xdr14:nvContentPartPr>
          <xdr14:nvPr macro=""/>
          <xdr14:xfrm>
            <a:off x="66675" y="16992600"/>
            <a:ext cx="843643" cy="625928"/>
          </xdr14:xfrm>
        </xdr:contentPart>
      </mc:Choice>
      <mc:Fallback xmlns="">
        <xdr:pic>
          <xdr:nvPicPr>
            <xdr:cNvPr id="6" name="Ink 6"/>
            <xdr:cNvPicPr>
              <a:picLocks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0" y="17032605"/>
              <a:ext cx="1114425" cy="716280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209550</xdr:colOff>
      <xdr:row>71</xdr:row>
      <xdr:rowOff>57150</xdr:rowOff>
    </xdr:from>
    <xdr:to>
      <xdr:col>1</xdr:col>
      <xdr:colOff>404689</xdr:colOff>
      <xdr:row>72</xdr:row>
      <xdr:rowOff>73171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7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14:cNvPr>
            <xdr14:cNvContentPartPr/>
          </xdr14:nvContentPartPr>
          <xdr14:nvPr macro=""/>
          <xdr14:xfrm>
            <a:off x="533400" y="17354550"/>
            <a:ext cx="195139" cy="187471"/>
          </xdr14:xfrm>
        </xdr:contentPart>
      </mc:Choice>
      <mc:Fallback xmlns="">
        <xdr:pic>
          <xdr:nvPicPr>
            <xdr:cNvPr id="7" name="Ink 7"/>
            <xdr:cNvPicPr>
              <a:picLocks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541020" y="17400270"/>
              <a:ext cx="198120" cy="188595"/>
            </a:xfrm>
            <a:prstGeom prst="rect"/>
            <a:noFill/>
          </xdr:spPr>
        </xdr:pic>
      </mc:Fallback>
    </mc:AlternateContent>
    <xdr:clientData/>
  </xdr:twoCellAnchor>
  <xdr:twoCellAnchor>
    <xdr:from>
      <xdr:col>1</xdr:col>
      <xdr:colOff>276225</xdr:colOff>
      <xdr:row>71</xdr:row>
      <xdr:rowOff>161925</xdr:rowOff>
    </xdr:from>
    <xdr:to>
      <xdr:col>1</xdr:col>
      <xdr:colOff>401515</xdr:colOff>
      <xdr:row>72</xdr:row>
      <xdr:rowOff>118256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8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14:cNvPr>
            <xdr14:cNvContentPartPr/>
          </xdr14:nvContentPartPr>
          <xdr14:nvPr macro=""/>
          <xdr14:xfrm>
            <a:off x="600075" y="17459325"/>
            <a:ext cx="125290" cy="127781"/>
          </xdr14:xfrm>
        </xdr:contentPart>
      </mc:Choice>
      <mc:Fallback xmlns="">
        <xdr:pic>
          <xdr:nvPicPr>
            <xdr:cNvPr id="8" name="Ink 8"/>
            <xdr:cNvPicPr>
              <a:picLocks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>
            <a:xfrm>
              <a:off x="651510" y="17432655"/>
              <a:ext cx="129540" cy="131445"/>
            </a:xfrm>
            <a:prstGeom prst="rect"/>
            <a:noFill/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4-11T09:22:31.671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404 1744,'0'0,"-16"-76,47-13,28-11,7-1,224-354,-52 123,-157 202,-9 25,15-33,-32 67,-15 24,-15 12,-15 30,-6-8,12 2,-5-7,-2 6,2 7,-11 5,0 0,0 0,0 0,0 0,-5 11,-21 37,-40 92,-140 286,37-71,38-77,80-58,117-280,34-59,18-34,-21 17,-57 71,-80 148,-37 76,-56 132,78-144,40-64,35-53,11-25,-1 1,-19-12,-22-29,-19-36,-26-100,21 28,15-16,-1-25,-4-11,-21-12,-55-71,15 177,-56 107,9 102,2 81,23 77,24 24,139 75,239-465,457-509,-613 574,-98 111,-46 42,-14-23,20-53,36-29,80-49,0 0,57-23,-103 17,-34 24,-30 13,4-1,20-12,16-17,29-7,-18 13,64-49,-40 13,-14 6,-32 18,-20 23,-15 18,-15 18,5-12,-15 29,-42 37,67-72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4-11T09:22:31.672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46 493,'-46'33,"86"-66,14-22,34-25,21-23,100-112,-168 181,-28 28,-53 59,-15 8,55-61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4-11T09:22:31.672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0 246,'0'108,"144"-242,-53 40,-13 27,-44 8,-34 59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22T02:05:07.915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404 1744,'0'0,"-16"-76,47-13,28-11,7-1,224-354,-52 123,-157 202,-9 25,15-33,-32 67,-15 24,-15 12,-15 30,-6-8,12 2,-5-7,-2 6,2 7,-11 5,0 0,0 0,0 0,0 0,-5 11,-21 37,-40 92,-140 286,37-71,38-77,80-58,117-280,34-59,18-34,-21 17,-57 71,-80 148,-37 76,-56 132,78-144,40-64,35-53,11-25,-1 1,-19-12,-22-29,-19-36,-26-100,21 28,15-16,-1-25,-4-11,-21-12,-55-71,15 177,-56 107,9 102,2 81,23 77,24 24,139 75,239-465,457-509,-613 574,-98 111,-46 42,-14-23,20-53,36-29,80-49,0 0,57-23,-103 17,-34 24,-30 13,4-1,20-12,16-17,29-7,-18 13,64-49,-40 13,-14 6,-32 18,-20 23,-15 18,-15 18,5-12,-15 29,-42 37,67-72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22T02:05:07.920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46 493,'-46'33,"86"-66,14-22,34-25,21-23,100-112,-168 181,-28 28,-53 59,-15 8,55-61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22T02:05:07.921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0 246,'0'108,"144"-242,-53 40,-13 27,-44 8,-34 59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07T08:50:59.713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404 1744,'0'0,"-16"-76,47-13,28-11,7-1,224-354,-52 123,-157 202,-9 25,15-33,-32 67,-15 24,-15 12,-15 30,-6-8,12 2,-5-7,-2 6,2 7,-11 5,0 0,0 0,0 0,0 0,-5 11,-21 37,-40 92,-140 286,37-71,38-77,80-58,117-280,34-59,18-34,-21 17,-57 71,-80 148,-37 76,-56 132,78-144,40-64,35-53,11-25,-1 1,-19-12,-22-29,-19-36,-26-100,21 28,15-16,-1-25,-4-11,-21-12,-55-71,15 177,-56 107,9 102,2 81,23 77,24 24,139 75,239-465,457-509,-613 574,-98 111,-46 42,-14-23,20-53,36-29,80-49,0 0,57-23,-103 17,-34 24,-30 13,4-1,20-12,16-17,29-7,-18 13,64-49,-40 13,-14 6,-32 18,-20 23,-15 18,-15 18,5-12,-15 29,-42 37,67-72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07T08:50:59.714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46 493,'-46'33,"86"-66,14-22,34-25,21-23,100-112,-168 181,-28 28,-53 59,-15 8,55-61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00" units="cm"/>
          <inkml:channel name="Y" type="integer" max="1080" units="cm"/>
        </inkml:traceFormat>
        <inkml:channelProperties>
          <inkml:channelProperty channel="X" name="resolution" value="66.66666" units="1/cm"/>
          <inkml:channelProperty channel="Y" name="resolution" value="40" units="1/cm"/>
        </inkml:channelProperties>
      </inkml:inkSource>
      <inkml:timestamp xml:id="ts0" timeString="2025-01-07T08:50:59.715"/>
    </inkml:context>
    <inkml:brush xml:id="br0">
      <inkml:brushProperty name="width" value="0.04233" units="cm"/>
      <inkml:brushProperty name="height" value="0.04233" units="cm"/>
      <inkml:brushProperty name="fitToCurve" value="1"/>
    </inkml:brush>
  </inkml:definitions>
  <inkml:trace contextRef="#ctx0" brushRef="#br0">0 246,'0'108,"144"-242,-53 40,-13 27,-44 8,-34 59</inkml:trace>
</inkml: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tabSelected="1" workbookViewId="0">
      <selection activeCell="K51" sqref="K51"/>
    </sheetView>
  </sheetViews>
  <sheetFormatPr defaultColWidth="9" defaultRowHeight="12.75"/>
  <cols>
    <col min="1" max="1" width="4.85546875" customWidth="1"/>
    <col min="5" max="5" width="12.7109375" customWidth="1"/>
    <col min="6" max="6" width="3.140625" customWidth="1"/>
    <col min="7" max="7" width="12" customWidth="1"/>
    <col min="8" max="8" width="6.42578125" customWidth="1"/>
    <col min="9" max="9" width="7.42578125" customWidth="1"/>
    <col min="10" max="10" width="3.42578125" customWidth="1"/>
    <col min="11" max="11" width="13" customWidth="1"/>
    <col min="12" max="12" width="9.7109375" customWidth="1"/>
    <col min="13" max="13" width="8.85546875" customWidth="1"/>
    <col min="14" max="14" width="11.85546875" customWidth="1"/>
    <col min="15" max="15" width="9.42578125" customWidth="1"/>
  </cols>
  <sheetData>
    <row r="1" spans="1:11">
      <c r="F1" s="1"/>
    </row>
    <row r="2" spans="1:11" ht="18.75" customHeight="1">
      <c r="F2" s="2"/>
    </row>
    <row r="3" spans="1:11" ht="13.5" customHeight="1">
      <c r="A3" s="3"/>
      <c r="B3" s="3"/>
      <c r="C3" s="3"/>
      <c r="D3" s="3"/>
      <c r="F3" s="4"/>
    </row>
    <row r="4" spans="1:11" ht="15" customHeight="1">
      <c r="F4" s="5"/>
    </row>
    <row r="5" spans="1:11" ht="15" customHeight="1">
      <c r="F5" s="5"/>
    </row>
    <row r="6" spans="1:11" ht="16.5" customHeight="1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3.5" customHeight="1" thickTop="1">
      <c r="A7" s="109" t="s">
        <v>8</v>
      </c>
      <c r="B7" s="109"/>
      <c r="C7" s="106" t="s">
        <v>85</v>
      </c>
      <c r="D7" s="13"/>
      <c r="E7" s="14"/>
      <c r="F7" s="14"/>
      <c r="G7" s="14"/>
      <c r="H7" s="14"/>
      <c r="I7" s="14"/>
      <c r="J7" s="14"/>
      <c r="K7" s="14"/>
    </row>
    <row r="8" spans="1:11" ht="13.5" customHeight="1">
      <c r="A8" s="109" t="s">
        <v>54</v>
      </c>
      <c r="B8" s="109"/>
      <c r="C8" s="106" t="s">
        <v>78</v>
      </c>
      <c r="D8" s="13"/>
      <c r="E8" s="15"/>
      <c r="F8" s="14"/>
      <c r="G8" s="14"/>
      <c r="H8" s="14"/>
      <c r="I8" s="14"/>
      <c r="J8" s="14"/>
      <c r="K8" s="14"/>
    </row>
    <row r="9" spans="1:11" ht="6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ht="13.5" customHeight="1">
      <c r="A10" s="16" t="s">
        <v>9</v>
      </c>
      <c r="B10" s="16"/>
      <c r="C10" s="100"/>
      <c r="D10" s="14"/>
      <c r="E10" s="14"/>
      <c r="F10" s="14"/>
      <c r="G10" s="14"/>
      <c r="H10" s="14"/>
      <c r="I10" s="14"/>
      <c r="J10" s="14"/>
      <c r="K10" s="14"/>
    </row>
    <row r="11" spans="1:11" ht="13.5" customHeight="1">
      <c r="A11" s="17" t="s">
        <v>58</v>
      </c>
      <c r="B11" s="17"/>
      <c r="C11" s="17"/>
      <c r="D11" s="18"/>
      <c r="E11" s="18"/>
      <c r="F11" s="14"/>
      <c r="G11" s="14"/>
      <c r="H11" s="14"/>
      <c r="I11" s="14"/>
      <c r="J11" s="14"/>
      <c r="K11" s="14"/>
    </row>
    <row r="12" spans="1:11" ht="13.5" customHeight="1">
      <c r="A12" s="16" t="s">
        <v>10</v>
      </c>
      <c r="B12" s="16"/>
      <c r="C12" s="17"/>
      <c r="D12" s="18"/>
      <c r="E12" s="18"/>
      <c r="F12" s="14"/>
      <c r="G12" s="14"/>
      <c r="H12" s="14"/>
      <c r="I12" s="14"/>
      <c r="J12" s="14"/>
      <c r="K12" s="14"/>
    </row>
    <row r="13" spans="1:11" ht="13.5" customHeight="1">
      <c r="A13" s="16" t="s">
        <v>59</v>
      </c>
      <c r="B13" s="16"/>
      <c r="C13" s="16"/>
      <c r="D13" s="14"/>
      <c r="E13" s="14"/>
      <c r="F13" s="14"/>
      <c r="G13" s="14"/>
      <c r="H13" s="14"/>
      <c r="I13" s="14"/>
      <c r="J13" s="14"/>
      <c r="K13" s="14"/>
    </row>
    <row r="14" spans="1:11" ht="6" customHeight="1">
      <c r="A14" s="16"/>
      <c r="B14" s="16"/>
      <c r="C14" s="16"/>
      <c r="D14" s="14"/>
      <c r="E14" s="14"/>
      <c r="F14" s="14"/>
      <c r="G14" s="14"/>
      <c r="H14" s="14"/>
      <c r="I14" s="14"/>
      <c r="J14" s="14"/>
      <c r="K14" s="14"/>
    </row>
    <row r="15" spans="1:11" ht="13.5" customHeight="1">
      <c r="A15" s="17" t="s">
        <v>42</v>
      </c>
      <c r="B15" s="17" t="s">
        <v>60</v>
      </c>
      <c r="C15" s="19"/>
      <c r="D15" s="14"/>
      <c r="E15" s="14"/>
      <c r="F15" s="14"/>
      <c r="G15" s="14"/>
      <c r="H15" s="14"/>
      <c r="I15" s="14"/>
      <c r="J15" s="14"/>
      <c r="K15" s="14"/>
    </row>
    <row r="16" spans="1:11" ht="6" customHeight="1">
      <c r="A16" s="17"/>
      <c r="B16" s="17"/>
      <c r="C16" s="19"/>
      <c r="D16" s="14"/>
      <c r="E16" s="14"/>
      <c r="F16" s="14"/>
      <c r="G16" s="14"/>
      <c r="H16" s="14"/>
      <c r="I16" s="14"/>
      <c r="J16" s="14"/>
      <c r="K16" s="14"/>
    </row>
    <row r="17" spans="1:14" ht="13.5" customHeight="1">
      <c r="A17" s="16" t="s">
        <v>11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4" ht="13.5" customHeight="1">
      <c r="A18" s="16" t="s">
        <v>61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4" ht="13.5" customHeight="1">
      <c r="A19" s="16" t="s">
        <v>47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4" ht="15" customHeight="1">
      <c r="A20" s="20" t="s">
        <v>12</v>
      </c>
      <c r="B20" s="107" t="s">
        <v>13</v>
      </c>
      <c r="C20" s="110"/>
      <c r="D20" s="110"/>
      <c r="E20" s="110"/>
      <c r="F20" s="107" t="s">
        <v>14</v>
      </c>
      <c r="G20" s="108"/>
      <c r="H20" s="110" t="s">
        <v>15</v>
      </c>
      <c r="I20" s="108"/>
      <c r="J20" s="107" t="s">
        <v>16</v>
      </c>
      <c r="K20" s="108"/>
    </row>
    <row r="21" spans="1:14" ht="15" customHeight="1">
      <c r="A21" s="21" t="s">
        <v>17</v>
      </c>
      <c r="B21" s="22" t="s">
        <v>18</v>
      </c>
      <c r="C21" s="23"/>
      <c r="D21" s="23"/>
      <c r="E21" s="24"/>
      <c r="F21" s="25"/>
      <c r="G21" s="26"/>
      <c r="H21" s="27"/>
      <c r="I21" s="25"/>
      <c r="J21" s="21"/>
      <c r="K21" s="24"/>
      <c r="L21" s="7"/>
      <c r="M21" s="7"/>
    </row>
    <row r="22" spans="1:14" ht="13.5" customHeight="1">
      <c r="A22" s="28">
        <v>1</v>
      </c>
      <c r="B22" s="29" t="s">
        <v>45</v>
      </c>
      <c r="C22" s="30"/>
      <c r="D22" s="30"/>
      <c r="E22" s="31"/>
      <c r="F22" s="30" t="s">
        <v>0</v>
      </c>
      <c r="G22" s="32">
        <v>60000000</v>
      </c>
      <c r="H22" s="33">
        <v>1</v>
      </c>
      <c r="I22" s="16" t="s">
        <v>1</v>
      </c>
      <c r="J22" s="34" t="s">
        <v>0</v>
      </c>
      <c r="K22" s="35">
        <f>G22*H22</f>
        <v>60000000</v>
      </c>
      <c r="L22" s="7"/>
      <c r="M22" s="7"/>
    </row>
    <row r="23" spans="1:14" ht="15" customHeight="1">
      <c r="A23" s="36"/>
      <c r="B23" s="37"/>
      <c r="C23" s="38"/>
      <c r="D23" s="38"/>
      <c r="E23" s="39"/>
      <c r="F23" s="38"/>
      <c r="G23" s="40"/>
      <c r="H23" s="41" t="s">
        <v>19</v>
      </c>
      <c r="I23" s="38"/>
      <c r="J23" s="42" t="s">
        <v>0</v>
      </c>
      <c r="K23" s="43">
        <f>SUM(K22:K22)</f>
        <v>60000000</v>
      </c>
      <c r="N23" s="9"/>
    </row>
    <row r="24" spans="1:14" ht="15" customHeight="1">
      <c r="A24" s="44" t="s">
        <v>20</v>
      </c>
      <c r="B24" s="45" t="s">
        <v>21</v>
      </c>
      <c r="C24" s="16"/>
      <c r="D24" s="16"/>
      <c r="E24" s="46"/>
      <c r="F24" s="16"/>
      <c r="G24" s="32"/>
      <c r="H24" s="47"/>
      <c r="I24" s="46"/>
      <c r="J24" s="16"/>
      <c r="K24" s="32"/>
    </row>
    <row r="25" spans="1:14" ht="13.5" customHeight="1">
      <c r="A25" s="28">
        <v>1</v>
      </c>
      <c r="B25" s="47" t="s">
        <v>7</v>
      </c>
      <c r="C25" s="16"/>
      <c r="D25" s="16"/>
      <c r="E25" s="48"/>
      <c r="F25" s="30" t="s">
        <v>0</v>
      </c>
      <c r="G25" s="32">
        <v>2500000</v>
      </c>
      <c r="H25" s="33">
        <v>1</v>
      </c>
      <c r="I25" s="16" t="s">
        <v>1</v>
      </c>
      <c r="J25" s="34" t="s">
        <v>0</v>
      </c>
      <c r="K25" s="35">
        <f>G25*H25</f>
        <v>2500000</v>
      </c>
    </row>
    <row r="26" spans="1:14" ht="13.5" customHeight="1">
      <c r="A26" s="28">
        <v>2</v>
      </c>
      <c r="B26" s="47" t="s">
        <v>43</v>
      </c>
      <c r="C26" s="16"/>
      <c r="D26" s="16"/>
      <c r="E26" s="48"/>
      <c r="F26" s="30" t="s">
        <v>0</v>
      </c>
      <c r="G26" s="32">
        <v>2500000</v>
      </c>
      <c r="H26" s="33">
        <v>1</v>
      </c>
      <c r="I26" s="16" t="s">
        <v>1</v>
      </c>
      <c r="J26" s="34" t="s">
        <v>0</v>
      </c>
      <c r="K26" s="35">
        <f>G26*H26</f>
        <v>2500000</v>
      </c>
    </row>
    <row r="27" spans="1:14" ht="13.5" customHeight="1">
      <c r="A27" s="49">
        <v>3</v>
      </c>
      <c r="B27" s="16" t="s">
        <v>22</v>
      </c>
      <c r="C27" s="16"/>
      <c r="D27" s="16"/>
      <c r="E27" s="16"/>
      <c r="F27" s="47" t="s">
        <v>0</v>
      </c>
      <c r="G27" s="32">
        <v>500000</v>
      </c>
      <c r="H27" s="33">
        <v>7</v>
      </c>
      <c r="I27" s="46" t="s">
        <v>2</v>
      </c>
      <c r="J27" s="16" t="s">
        <v>0</v>
      </c>
      <c r="K27" s="50">
        <f>G27*H27</f>
        <v>3500000</v>
      </c>
    </row>
    <row r="28" spans="1:14" ht="15" customHeight="1">
      <c r="A28" s="51"/>
      <c r="B28" s="52"/>
      <c r="C28" s="38"/>
      <c r="D28" s="38"/>
      <c r="E28" s="53"/>
      <c r="F28" s="42"/>
      <c r="G28" s="54"/>
      <c r="H28" s="38" t="s">
        <v>23</v>
      </c>
      <c r="I28" s="39"/>
      <c r="J28" s="42" t="s">
        <v>0</v>
      </c>
      <c r="K28" s="43">
        <f>SUM(K25:K27)</f>
        <v>8500000</v>
      </c>
    </row>
    <row r="29" spans="1:14" ht="15" customHeight="1">
      <c r="A29" s="44" t="s">
        <v>24</v>
      </c>
      <c r="B29" s="45" t="s">
        <v>25</v>
      </c>
      <c r="C29" s="16"/>
      <c r="D29" s="16"/>
      <c r="E29" s="46"/>
      <c r="F29" s="47"/>
      <c r="G29" s="32"/>
      <c r="H29" s="55"/>
      <c r="I29" s="16"/>
      <c r="J29" s="47"/>
      <c r="K29" s="32"/>
      <c r="M29" s="7"/>
    </row>
    <row r="30" spans="1:14" ht="13.5" customHeight="1">
      <c r="A30" s="56">
        <v>1</v>
      </c>
      <c r="B30" s="47" t="s">
        <v>44</v>
      </c>
      <c r="C30" s="16"/>
      <c r="D30" s="16"/>
      <c r="E30" s="57"/>
      <c r="F30" s="16" t="s">
        <v>0</v>
      </c>
      <c r="G30" s="32">
        <v>350000</v>
      </c>
      <c r="H30" s="16">
        <v>1</v>
      </c>
      <c r="I30" s="16" t="s">
        <v>4</v>
      </c>
      <c r="J30" s="47" t="s">
        <v>0</v>
      </c>
      <c r="K30" s="58">
        <f t="shared" ref="K30:K32" si="0">G30*H30</f>
        <v>350000</v>
      </c>
    </row>
    <row r="31" spans="1:14" ht="13.5" customHeight="1">
      <c r="A31" s="56">
        <v>2</v>
      </c>
      <c r="B31" s="47" t="s">
        <v>50</v>
      </c>
      <c r="C31" s="16"/>
      <c r="D31" s="16"/>
      <c r="E31" s="57"/>
      <c r="F31" s="16" t="s">
        <v>0</v>
      </c>
      <c r="G31" s="32">
        <v>300000</v>
      </c>
      <c r="H31" s="16">
        <v>1</v>
      </c>
      <c r="I31" s="16" t="s">
        <v>4</v>
      </c>
      <c r="J31" s="47" t="s">
        <v>0</v>
      </c>
      <c r="K31" s="58">
        <f t="shared" si="0"/>
        <v>300000</v>
      </c>
    </row>
    <row r="32" spans="1:14" ht="13.5" customHeight="1">
      <c r="A32" s="56">
        <v>3</v>
      </c>
      <c r="B32" s="47" t="s">
        <v>62</v>
      </c>
      <c r="C32" s="16"/>
      <c r="D32" s="16"/>
      <c r="E32" s="57"/>
      <c r="F32" s="16" t="s">
        <v>0</v>
      </c>
      <c r="G32" s="32">
        <v>150000</v>
      </c>
      <c r="H32" s="16">
        <v>1</v>
      </c>
      <c r="I32" s="16" t="s">
        <v>4</v>
      </c>
      <c r="J32" s="47" t="s">
        <v>0</v>
      </c>
      <c r="K32" s="58">
        <f t="shared" si="0"/>
        <v>150000</v>
      </c>
    </row>
    <row r="33" spans="1:15" ht="15" customHeight="1">
      <c r="A33" s="59"/>
      <c r="B33" s="42"/>
      <c r="C33" s="38"/>
      <c r="D33" s="38"/>
      <c r="E33" s="39"/>
      <c r="F33" s="37"/>
      <c r="G33" s="54"/>
      <c r="H33" s="60" t="s">
        <v>26</v>
      </c>
      <c r="I33" s="39"/>
      <c r="J33" s="42" t="s">
        <v>0</v>
      </c>
      <c r="K33" s="43">
        <f>SUM(K30:K32)</f>
        <v>800000</v>
      </c>
    </row>
    <row r="34" spans="1:15" ht="15" customHeight="1">
      <c r="A34" s="44" t="s">
        <v>27</v>
      </c>
      <c r="B34" s="45" t="s">
        <v>28</v>
      </c>
      <c r="C34" s="16"/>
      <c r="D34" s="16"/>
      <c r="E34" s="46"/>
      <c r="F34" s="16"/>
      <c r="G34" s="32"/>
      <c r="H34" s="55"/>
      <c r="I34" s="16"/>
      <c r="J34" s="45"/>
      <c r="K34" s="61"/>
      <c r="M34" s="10"/>
    </row>
    <row r="35" spans="1:15" ht="13.5" customHeight="1">
      <c r="A35" s="28">
        <v>1</v>
      </c>
      <c r="B35" s="47" t="s">
        <v>83</v>
      </c>
      <c r="C35" s="16"/>
      <c r="D35" s="16"/>
      <c r="E35" s="46"/>
      <c r="F35" s="16" t="s">
        <v>0</v>
      </c>
      <c r="G35" s="32">
        <v>1200000</v>
      </c>
      <c r="H35" s="55">
        <v>7</v>
      </c>
      <c r="I35" s="16" t="s">
        <v>3</v>
      </c>
      <c r="J35" s="47" t="s">
        <v>0</v>
      </c>
      <c r="K35" s="62">
        <f>G35*H35</f>
        <v>8400000</v>
      </c>
      <c r="M35" s="10"/>
    </row>
    <row r="36" spans="1:15" ht="13.5" customHeight="1">
      <c r="A36" s="28">
        <v>2</v>
      </c>
      <c r="B36" s="47" t="s">
        <v>52</v>
      </c>
      <c r="C36" s="16"/>
      <c r="D36" s="16"/>
      <c r="E36" s="46"/>
      <c r="F36" s="16" t="s">
        <v>0</v>
      </c>
      <c r="G36" s="32">
        <v>3000000</v>
      </c>
      <c r="H36" s="55">
        <v>1</v>
      </c>
      <c r="I36" s="16" t="s">
        <v>1</v>
      </c>
      <c r="J36" s="47" t="s">
        <v>0</v>
      </c>
      <c r="K36" s="62">
        <f>G36*H36</f>
        <v>3000000</v>
      </c>
      <c r="M36" s="10"/>
    </row>
    <row r="37" spans="1:15" ht="15" customHeight="1">
      <c r="A37" s="59"/>
      <c r="B37" s="52"/>
      <c r="C37" s="38"/>
      <c r="D37" s="38"/>
      <c r="E37" s="39"/>
      <c r="F37" s="42"/>
      <c r="G37" s="54"/>
      <c r="H37" s="60" t="s">
        <v>29</v>
      </c>
      <c r="I37" s="39"/>
      <c r="J37" s="42" t="s">
        <v>0</v>
      </c>
      <c r="K37" s="63">
        <f>SUM(K35:K36)</f>
        <v>11400000</v>
      </c>
      <c r="M37" s="7"/>
    </row>
    <row r="38" spans="1:15" ht="15" customHeight="1">
      <c r="A38" s="44" t="s">
        <v>30</v>
      </c>
      <c r="B38" s="45" t="s">
        <v>31</v>
      </c>
      <c r="C38" s="16"/>
      <c r="D38" s="16"/>
      <c r="E38" s="46"/>
      <c r="F38" s="16"/>
      <c r="G38" s="32"/>
      <c r="H38" s="55"/>
      <c r="I38" s="16"/>
      <c r="J38" s="45"/>
      <c r="K38" s="61"/>
      <c r="M38" s="7"/>
    </row>
    <row r="39" spans="1:15" ht="13.5" customHeight="1">
      <c r="A39" s="28">
        <v>1</v>
      </c>
      <c r="B39" s="64" t="s">
        <v>32</v>
      </c>
      <c r="C39" s="65"/>
      <c r="D39" s="65"/>
      <c r="E39" s="46"/>
      <c r="F39" s="65" t="s">
        <v>0</v>
      </c>
      <c r="G39" s="32">
        <v>3000000</v>
      </c>
      <c r="H39" s="66">
        <v>1</v>
      </c>
      <c r="I39" s="65" t="s">
        <v>1</v>
      </c>
      <c r="J39" s="47" t="s">
        <v>0</v>
      </c>
      <c r="K39" s="32">
        <f>G39*H39</f>
        <v>3000000</v>
      </c>
      <c r="M39" s="7"/>
    </row>
    <row r="40" spans="1:15" ht="13.5" customHeight="1">
      <c r="A40" s="67">
        <v>2</v>
      </c>
      <c r="B40" s="68" t="s">
        <v>33</v>
      </c>
      <c r="C40" s="69"/>
      <c r="D40" s="69">
        <v>7</v>
      </c>
      <c r="E40" s="70" t="s">
        <v>2</v>
      </c>
      <c r="F40" s="69" t="s">
        <v>0</v>
      </c>
      <c r="G40" s="71">
        <v>75000</v>
      </c>
      <c r="H40" s="72">
        <v>12</v>
      </c>
      <c r="I40" s="69" t="s">
        <v>4</v>
      </c>
      <c r="J40" s="68" t="s">
        <v>0</v>
      </c>
      <c r="K40" s="71">
        <f>D40*G40*H40</f>
        <v>6300000</v>
      </c>
      <c r="M40" s="7"/>
    </row>
    <row r="41" spans="1:15" ht="15" customHeight="1">
      <c r="A41" s="28"/>
      <c r="B41" s="47"/>
      <c r="C41" s="16"/>
      <c r="D41" s="16"/>
      <c r="E41" s="46"/>
      <c r="F41" s="16"/>
      <c r="G41" s="32"/>
      <c r="H41" s="55" t="s">
        <v>34</v>
      </c>
      <c r="I41" s="16"/>
      <c r="J41" s="45" t="s">
        <v>0</v>
      </c>
      <c r="K41" s="61">
        <f>SUM(K39:K40)</f>
        <v>9300000</v>
      </c>
      <c r="M41" s="7"/>
    </row>
    <row r="42" spans="1:15" ht="15" customHeight="1">
      <c r="A42" s="44" t="s">
        <v>35</v>
      </c>
      <c r="B42" s="45" t="s">
        <v>36</v>
      </c>
      <c r="C42" s="16"/>
      <c r="D42" s="16"/>
      <c r="E42" s="46"/>
      <c r="F42" s="16"/>
      <c r="G42" s="32"/>
      <c r="H42" s="55"/>
      <c r="I42" s="16"/>
      <c r="J42" s="47"/>
      <c r="K42" s="32"/>
      <c r="M42" s="7"/>
    </row>
    <row r="43" spans="1:15" ht="13.5" customHeight="1">
      <c r="A43" s="101">
        <v>1</v>
      </c>
      <c r="B43" s="47" t="s">
        <v>5</v>
      </c>
      <c r="C43" s="16"/>
      <c r="D43" s="16"/>
      <c r="E43" s="46"/>
      <c r="F43" s="73" t="s">
        <v>0</v>
      </c>
      <c r="G43" s="74">
        <v>1000000</v>
      </c>
      <c r="H43" s="75">
        <v>1</v>
      </c>
      <c r="I43" s="73" t="s">
        <v>1</v>
      </c>
      <c r="J43" s="76" t="s">
        <v>0</v>
      </c>
      <c r="K43" s="74">
        <f>G43*H43</f>
        <v>1000000</v>
      </c>
      <c r="M43" s="7"/>
    </row>
    <row r="44" spans="1:15" ht="13.5" customHeight="1">
      <c r="A44" s="102">
        <v>2</v>
      </c>
      <c r="B44" s="47" t="s">
        <v>48</v>
      </c>
      <c r="C44" s="16"/>
      <c r="D44" s="16"/>
      <c r="E44" s="46"/>
      <c r="F44" s="73" t="s">
        <v>0</v>
      </c>
      <c r="G44" s="74">
        <v>1000000</v>
      </c>
      <c r="H44" s="75">
        <v>1</v>
      </c>
      <c r="I44" s="73" t="s">
        <v>1</v>
      </c>
      <c r="J44" s="76" t="s">
        <v>0</v>
      </c>
      <c r="K44" s="74">
        <f>G44*H44</f>
        <v>1000000</v>
      </c>
      <c r="M44" s="7"/>
    </row>
    <row r="45" spans="1:15" ht="13.5" customHeight="1">
      <c r="A45" s="77"/>
      <c r="B45" s="38"/>
      <c r="C45" s="38"/>
      <c r="D45" s="38"/>
      <c r="E45" s="38"/>
      <c r="F45" s="38"/>
      <c r="G45" s="60"/>
      <c r="H45" s="78" t="s">
        <v>37</v>
      </c>
      <c r="I45" s="79"/>
      <c r="J45" s="80" t="s">
        <v>0</v>
      </c>
      <c r="K45" s="81">
        <f>SUM(K43:K44)</f>
        <v>2000000</v>
      </c>
    </row>
    <row r="46" spans="1:15" ht="13.5" customHeight="1">
      <c r="A46" s="82"/>
      <c r="B46" s="83" t="s">
        <v>39</v>
      </c>
      <c r="C46" s="84"/>
      <c r="D46" s="16"/>
      <c r="E46" s="16"/>
      <c r="F46" s="16"/>
      <c r="G46" s="55"/>
      <c r="H46" s="92" t="s">
        <v>38</v>
      </c>
      <c r="I46" s="38"/>
      <c r="J46" s="42" t="s">
        <v>0</v>
      </c>
      <c r="K46" s="43">
        <f>K23+K28+K33+K37+K41+K45</f>
        <v>92000000</v>
      </c>
    </row>
    <row r="47" spans="1:15" ht="13.5" customHeight="1">
      <c r="A47" s="30" t="s">
        <v>6</v>
      </c>
      <c r="B47" s="16" t="s">
        <v>53</v>
      </c>
      <c r="C47" s="84"/>
      <c r="D47" s="16"/>
      <c r="E47" s="16"/>
      <c r="F47" s="16"/>
      <c r="G47" s="55"/>
      <c r="H47" s="93" t="s">
        <v>81</v>
      </c>
      <c r="I47" s="70"/>
      <c r="J47" s="94" t="s">
        <v>0</v>
      </c>
      <c r="K47" s="95">
        <f>K46*0.025</f>
        <v>2300000</v>
      </c>
    </row>
    <row r="48" spans="1:15" ht="13.5" customHeight="1">
      <c r="A48" s="30" t="s">
        <v>6</v>
      </c>
      <c r="B48" s="16" t="s">
        <v>57</v>
      </c>
      <c r="C48" s="84"/>
      <c r="D48" s="16"/>
      <c r="E48" s="16"/>
      <c r="F48" s="16"/>
      <c r="G48" s="55"/>
      <c r="H48" s="93" t="s">
        <v>55</v>
      </c>
      <c r="I48" s="70"/>
      <c r="J48" s="94" t="s">
        <v>0</v>
      </c>
      <c r="K48" s="95">
        <f>K46-K47</f>
        <v>89700000</v>
      </c>
      <c r="N48" s="30"/>
      <c r="O48" s="16"/>
    </row>
    <row r="49" spans="1:15" ht="13.5" customHeight="1">
      <c r="A49" s="30" t="s">
        <v>6</v>
      </c>
      <c r="B49" s="16" t="s">
        <v>76</v>
      </c>
      <c r="C49" s="84"/>
      <c r="D49" s="16"/>
      <c r="E49" s="16"/>
      <c r="F49" s="16"/>
      <c r="G49" s="55"/>
      <c r="H49" s="88"/>
      <c r="I49" s="65"/>
      <c r="J49" s="89"/>
      <c r="K49" s="103"/>
      <c r="N49" s="30"/>
      <c r="O49" s="16"/>
    </row>
    <row r="50" spans="1:15" ht="13.5" customHeight="1">
      <c r="A50" s="30" t="s">
        <v>6</v>
      </c>
      <c r="B50" s="16" t="s">
        <v>84</v>
      </c>
      <c r="C50" s="84"/>
      <c r="D50" s="84"/>
      <c r="E50" s="84"/>
      <c r="F50" s="16"/>
      <c r="G50" s="55"/>
      <c r="K50" s="99"/>
      <c r="M50" s="87"/>
      <c r="N50" s="30"/>
      <c r="O50" s="16"/>
    </row>
    <row r="51" spans="1:15" ht="13.5" customHeight="1">
      <c r="A51" s="30" t="s">
        <v>6</v>
      </c>
      <c r="B51" s="16" t="s">
        <v>56</v>
      </c>
      <c r="C51" s="84"/>
      <c r="D51" s="84"/>
      <c r="E51" s="84"/>
      <c r="F51" s="16"/>
      <c r="G51" s="55"/>
      <c r="H51" s="88"/>
      <c r="I51" s="65"/>
      <c r="J51" s="89"/>
      <c r="K51" s="96"/>
      <c r="N51" s="30"/>
      <c r="O51" s="16"/>
    </row>
    <row r="52" spans="1:15" ht="13.5" customHeight="1">
      <c r="A52" s="30" t="s">
        <v>6</v>
      </c>
      <c r="B52" s="16" t="s">
        <v>49</v>
      </c>
      <c r="C52" s="84"/>
      <c r="D52" s="84"/>
      <c r="E52" s="84"/>
      <c r="F52" s="16"/>
      <c r="G52" s="55"/>
      <c r="H52" s="88"/>
      <c r="I52" s="65"/>
      <c r="J52" s="89"/>
      <c r="K52" s="96"/>
      <c r="L52" s="30"/>
      <c r="M52" s="16"/>
      <c r="N52" s="30"/>
      <c r="O52" s="16"/>
    </row>
    <row r="53" spans="1:15" ht="13.5">
      <c r="A53" s="30" t="s">
        <v>6</v>
      </c>
      <c r="B53" s="16" t="s">
        <v>64</v>
      </c>
      <c r="C53" s="16"/>
      <c r="D53" s="84"/>
      <c r="E53" s="84"/>
      <c r="F53" s="16"/>
      <c r="G53" s="55"/>
      <c r="H53" s="16"/>
      <c r="I53" s="16"/>
      <c r="J53" s="16"/>
      <c r="K53" s="98"/>
      <c r="M53" s="30"/>
      <c r="N53" s="30"/>
      <c r="O53" s="16"/>
    </row>
    <row r="54" spans="1:15" ht="13.5" customHeight="1">
      <c r="A54" s="30" t="s">
        <v>6</v>
      </c>
      <c r="B54" s="16" t="s">
        <v>65</v>
      </c>
      <c r="C54" s="16"/>
      <c r="D54" s="84"/>
      <c r="E54" s="84"/>
      <c r="F54" s="16"/>
      <c r="G54" s="55"/>
      <c r="H54" s="16"/>
      <c r="I54" s="16"/>
      <c r="J54" s="16"/>
      <c r="K54" s="19"/>
      <c r="M54" s="30"/>
    </row>
    <row r="55" spans="1:15" ht="13.5" customHeight="1">
      <c r="A55" s="30" t="s">
        <v>6</v>
      </c>
      <c r="B55" s="16" t="s">
        <v>66</v>
      </c>
      <c r="C55" s="16"/>
      <c r="D55" s="16"/>
      <c r="E55" s="16"/>
      <c r="F55" s="16"/>
      <c r="G55" s="16"/>
      <c r="H55" s="14"/>
      <c r="I55" s="14"/>
      <c r="J55" s="14"/>
      <c r="K55" s="19"/>
      <c r="M55" s="30"/>
      <c r="N55" s="30"/>
      <c r="O55" s="16"/>
    </row>
    <row r="56" spans="1:15" ht="13.5" customHeight="1">
      <c r="A56" s="30" t="s">
        <v>6</v>
      </c>
      <c r="B56" s="16" t="s">
        <v>67</v>
      </c>
      <c r="C56" s="16"/>
      <c r="D56" s="16"/>
      <c r="E56" s="16"/>
      <c r="F56" s="16"/>
      <c r="G56" s="16"/>
      <c r="H56" s="14"/>
      <c r="I56" s="14"/>
      <c r="J56" s="14"/>
      <c r="K56" s="19"/>
      <c r="M56" s="30"/>
      <c r="N56" s="30"/>
      <c r="O56" s="16"/>
    </row>
    <row r="57" spans="1:15" ht="13.5" customHeight="1">
      <c r="A57" s="30" t="s">
        <v>6</v>
      </c>
      <c r="B57" s="16" t="s">
        <v>68</v>
      </c>
      <c r="C57" s="16"/>
      <c r="D57" s="16"/>
      <c r="E57" s="16"/>
      <c r="F57" s="16"/>
      <c r="G57" s="16"/>
      <c r="H57" s="14"/>
      <c r="I57" s="14"/>
      <c r="J57" s="14"/>
      <c r="K57" s="97"/>
      <c r="M57" s="30"/>
      <c r="N57" s="30"/>
      <c r="O57" s="16"/>
    </row>
    <row r="58" spans="1:15" ht="13.5">
      <c r="A58" s="30" t="s">
        <v>6</v>
      </c>
      <c r="B58" s="16" t="s">
        <v>69</v>
      </c>
      <c r="C58" s="84"/>
      <c r="D58" s="84"/>
      <c r="E58" s="84"/>
      <c r="F58" s="16"/>
      <c r="G58" s="55"/>
      <c r="H58" s="16"/>
      <c r="I58" s="16"/>
      <c r="J58" s="16"/>
      <c r="K58" s="19"/>
      <c r="M58" s="30"/>
      <c r="N58" s="30"/>
      <c r="O58" s="16"/>
    </row>
    <row r="59" spans="1:15" ht="13.5">
      <c r="A59" s="30" t="s">
        <v>6</v>
      </c>
      <c r="B59" s="16" t="s">
        <v>70</v>
      </c>
      <c r="C59" s="84"/>
      <c r="D59" s="84"/>
      <c r="E59" s="84"/>
      <c r="F59" s="16"/>
      <c r="G59" s="55"/>
      <c r="H59" s="16"/>
      <c r="I59" s="16"/>
      <c r="J59" s="16"/>
      <c r="K59" s="19"/>
      <c r="M59" s="30"/>
      <c r="N59" s="30"/>
      <c r="O59" s="16"/>
    </row>
    <row r="60" spans="1:15" ht="13.5" customHeight="1">
      <c r="A60" s="30" t="s">
        <v>6</v>
      </c>
      <c r="B60" s="16" t="s">
        <v>71</v>
      </c>
      <c r="C60" s="16"/>
      <c r="D60" s="16"/>
      <c r="E60" s="16"/>
      <c r="F60" s="16"/>
      <c r="G60" s="16"/>
      <c r="H60" s="14"/>
      <c r="I60" s="14"/>
      <c r="J60" s="14"/>
      <c r="K60" s="19"/>
      <c r="M60" s="30"/>
      <c r="N60" s="30"/>
      <c r="O60" s="16"/>
    </row>
    <row r="61" spans="1:15" ht="13.5" customHeight="1">
      <c r="A61" s="30" t="s">
        <v>6</v>
      </c>
      <c r="B61" s="16" t="s">
        <v>72</v>
      </c>
      <c r="C61" s="16"/>
      <c r="D61" s="16"/>
      <c r="E61" s="16"/>
      <c r="F61" s="16"/>
      <c r="G61" s="16"/>
      <c r="H61" s="14"/>
      <c r="I61" s="14"/>
      <c r="J61" s="14"/>
      <c r="K61" s="19"/>
      <c r="M61" s="30"/>
      <c r="N61" s="30"/>
      <c r="O61" s="16"/>
    </row>
    <row r="62" spans="1:15" ht="13.5" customHeight="1">
      <c r="A62" s="30" t="s">
        <v>6</v>
      </c>
      <c r="B62" s="16" t="s">
        <v>73</v>
      </c>
      <c r="C62" s="16"/>
      <c r="D62" s="16"/>
      <c r="E62" s="16"/>
      <c r="F62" s="16"/>
      <c r="G62" s="16"/>
      <c r="H62" s="14"/>
      <c r="I62" s="14"/>
      <c r="J62" s="14"/>
      <c r="K62" s="19"/>
      <c r="M62" s="30"/>
      <c r="N62" s="30"/>
      <c r="O62" s="16"/>
    </row>
    <row r="63" spans="1:15" ht="13.5" customHeight="1">
      <c r="A63" s="30" t="s">
        <v>6</v>
      </c>
      <c r="B63" s="16" t="s">
        <v>74</v>
      </c>
      <c r="C63" s="16"/>
      <c r="D63" s="16"/>
      <c r="E63" s="16"/>
      <c r="F63" s="16"/>
      <c r="G63" s="16"/>
      <c r="H63" s="14"/>
      <c r="I63" s="14"/>
      <c r="J63" s="14"/>
      <c r="K63" s="19"/>
      <c r="M63" s="30"/>
      <c r="N63" s="30"/>
      <c r="O63" s="16"/>
    </row>
    <row r="64" spans="1:15" ht="13.5">
      <c r="A64" s="30" t="s">
        <v>6</v>
      </c>
      <c r="B64" s="16" t="s">
        <v>75</v>
      </c>
      <c r="C64" s="84"/>
      <c r="D64" s="84"/>
      <c r="E64" s="84"/>
      <c r="F64" s="16"/>
      <c r="G64" s="55"/>
      <c r="H64" s="16"/>
      <c r="I64" s="16"/>
      <c r="J64" s="16"/>
      <c r="K64" s="19"/>
      <c r="M64" s="12"/>
      <c r="N64" s="30"/>
      <c r="O64" s="16"/>
    </row>
    <row r="65" spans="1:15" ht="9" customHeight="1">
      <c r="A65" s="30"/>
      <c r="B65" s="16"/>
      <c r="C65" s="84"/>
      <c r="D65" s="84"/>
      <c r="E65" s="84"/>
      <c r="F65" s="16"/>
      <c r="G65" s="55"/>
      <c r="H65" s="16"/>
      <c r="I65" s="16"/>
      <c r="J65" s="16"/>
      <c r="K65" s="19"/>
      <c r="N65" s="30"/>
      <c r="O65" s="16"/>
    </row>
    <row r="66" spans="1:15" ht="13.5" customHeight="1">
      <c r="A66" s="16" t="s">
        <v>40</v>
      </c>
      <c r="B66" s="16"/>
      <c r="C66" s="16"/>
      <c r="D66" s="16"/>
      <c r="E66" s="16"/>
      <c r="F66" s="16"/>
      <c r="G66" s="16"/>
      <c r="H66" s="14"/>
      <c r="I66" s="14"/>
      <c r="J66" s="14"/>
      <c r="K66" s="14"/>
      <c r="L66" s="11"/>
      <c r="M66" s="8"/>
      <c r="N66" s="30"/>
      <c r="O66" s="16"/>
    </row>
    <row r="67" spans="1:15" ht="9" customHeight="1">
      <c r="A67" s="30"/>
      <c r="B67" s="16"/>
      <c r="C67" s="16"/>
      <c r="D67" s="16"/>
      <c r="E67" s="16"/>
      <c r="F67" s="16"/>
      <c r="G67" s="16"/>
      <c r="H67" s="14"/>
      <c r="I67" s="14"/>
      <c r="J67" s="14"/>
      <c r="K67" s="14"/>
    </row>
    <row r="68" spans="1:15" ht="13.5" customHeight="1">
      <c r="A68" s="16" t="s">
        <v>86</v>
      </c>
      <c r="B68" s="16"/>
      <c r="C68" s="16"/>
      <c r="D68" s="16"/>
      <c r="E68" s="16"/>
      <c r="F68" s="16"/>
      <c r="G68" s="16"/>
      <c r="H68" s="14"/>
      <c r="I68" s="14"/>
      <c r="J68" s="14"/>
      <c r="K68" s="14"/>
    </row>
    <row r="69" spans="1:15" ht="13.5" customHeight="1">
      <c r="A69" s="16" t="s">
        <v>46</v>
      </c>
      <c r="B69" s="16"/>
      <c r="C69" s="16"/>
      <c r="D69" s="16"/>
      <c r="E69" s="16"/>
      <c r="F69" s="16"/>
      <c r="G69" s="16"/>
      <c r="H69" s="14"/>
      <c r="I69" s="14"/>
      <c r="J69" s="14"/>
      <c r="K69" s="14"/>
    </row>
    <row r="70" spans="1:15" ht="13.5" customHeight="1">
      <c r="A70" s="16"/>
      <c r="B70" s="16"/>
      <c r="C70" s="16"/>
      <c r="D70" s="16"/>
      <c r="E70" s="16"/>
      <c r="F70" s="16"/>
      <c r="G70" s="16"/>
      <c r="H70" s="14"/>
      <c r="I70" s="14"/>
      <c r="J70" s="15"/>
      <c r="K70" s="15"/>
    </row>
    <row r="71" spans="1:15" ht="13.5" customHeight="1">
      <c r="A71" s="16"/>
      <c r="B71" s="16"/>
      <c r="C71" s="16"/>
      <c r="D71" s="16"/>
      <c r="E71" s="16"/>
      <c r="F71" s="16"/>
      <c r="G71" s="16"/>
      <c r="H71" s="14"/>
      <c r="I71" s="14"/>
      <c r="J71" s="19"/>
      <c r="K71" s="19"/>
    </row>
    <row r="72" spans="1:15" ht="13.5" customHeight="1">
      <c r="A72" s="16"/>
      <c r="B72" s="16"/>
      <c r="C72" s="16"/>
      <c r="D72" s="16"/>
      <c r="E72" s="16"/>
      <c r="F72" s="84"/>
      <c r="G72" s="84"/>
      <c r="H72" s="15"/>
      <c r="I72" s="15"/>
      <c r="J72" s="19"/>
      <c r="K72" s="19"/>
    </row>
    <row r="73" spans="1:15" ht="13.5" customHeight="1">
      <c r="A73" s="84"/>
      <c r="B73" s="16"/>
      <c r="C73" s="16"/>
      <c r="D73" s="16"/>
      <c r="E73" s="16"/>
      <c r="F73" s="84"/>
      <c r="G73" s="84"/>
      <c r="H73" s="19"/>
      <c r="I73" s="19"/>
      <c r="J73" s="19"/>
      <c r="K73" s="19"/>
    </row>
    <row r="74" spans="1:15" ht="13.5" customHeight="1">
      <c r="A74" s="90" t="s">
        <v>41</v>
      </c>
      <c r="B74" s="84"/>
      <c r="C74" s="84"/>
      <c r="D74" s="84"/>
      <c r="E74" s="84"/>
      <c r="F74" s="84"/>
      <c r="G74" s="84"/>
      <c r="H74" s="19"/>
      <c r="I74" s="19"/>
      <c r="J74" s="19"/>
      <c r="K74" s="19"/>
    </row>
    <row r="75" spans="1:15">
      <c r="A75" s="19"/>
      <c r="B75" s="84"/>
      <c r="C75" s="84"/>
      <c r="D75" s="84"/>
      <c r="E75" s="84"/>
      <c r="F75" s="84"/>
      <c r="G75" s="84"/>
      <c r="H75" s="19"/>
      <c r="I75" s="19"/>
      <c r="J75" s="19"/>
      <c r="K75" s="19"/>
    </row>
  </sheetData>
  <mergeCells count="6">
    <mergeCell ref="J20:K20"/>
    <mergeCell ref="A7:B7"/>
    <mergeCell ref="A8:B8"/>
    <mergeCell ref="B20:E20"/>
    <mergeCell ref="F20:G20"/>
    <mergeCell ref="H20:I20"/>
  </mergeCells>
  <pageMargins left="0.31496062992126" right="0" top="0.25" bottom="0.25" header="0.31496062992126" footer="0.3149606299212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5"/>
  <sheetViews>
    <sheetView workbookViewId="0">
      <selection activeCell="H36" sqref="H36"/>
    </sheetView>
  </sheetViews>
  <sheetFormatPr defaultColWidth="9" defaultRowHeight="12.75"/>
  <cols>
    <col min="1" max="1" width="4.85546875" customWidth="1"/>
    <col min="5" max="5" width="12.7109375" customWidth="1"/>
    <col min="6" max="6" width="3.140625" customWidth="1"/>
    <col min="7" max="7" width="12" customWidth="1"/>
    <col min="8" max="8" width="6.42578125" customWidth="1"/>
    <col min="9" max="9" width="7.42578125" customWidth="1"/>
    <col min="10" max="10" width="3.42578125" customWidth="1"/>
    <col min="11" max="11" width="13" customWidth="1"/>
    <col min="12" max="12" width="9.7109375" customWidth="1"/>
    <col min="13" max="13" width="8.85546875" customWidth="1"/>
    <col min="14" max="14" width="11.85546875" customWidth="1"/>
    <col min="15" max="15" width="9.42578125" customWidth="1"/>
  </cols>
  <sheetData>
    <row r="1" spans="1:11">
      <c r="F1" s="1"/>
    </row>
    <row r="2" spans="1:11" ht="18.75" customHeight="1">
      <c r="F2" s="2"/>
    </row>
    <row r="3" spans="1:11" ht="13.5" customHeight="1">
      <c r="A3" s="3"/>
      <c r="B3" s="3"/>
      <c r="C3" s="3"/>
      <c r="D3" s="3"/>
      <c r="F3" s="4"/>
    </row>
    <row r="4" spans="1:11" ht="15" customHeight="1">
      <c r="F4" s="5"/>
    </row>
    <row r="5" spans="1:11" ht="15" customHeight="1">
      <c r="F5" s="5"/>
    </row>
    <row r="6" spans="1:11" ht="16.5" customHeight="1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3.5" customHeight="1" thickTop="1">
      <c r="A7" s="109" t="s">
        <v>8</v>
      </c>
      <c r="B7" s="109"/>
      <c r="C7" s="105" t="s">
        <v>80</v>
      </c>
      <c r="D7" s="13"/>
      <c r="E7" s="14"/>
      <c r="F7" s="14"/>
      <c r="G7" s="14"/>
      <c r="H7" s="14"/>
      <c r="I7" s="14"/>
      <c r="J7" s="14"/>
      <c r="K7" s="14"/>
    </row>
    <row r="8" spans="1:11" ht="13.5" customHeight="1">
      <c r="A8" s="109" t="s">
        <v>54</v>
      </c>
      <c r="B8" s="109"/>
      <c r="C8" s="105" t="s">
        <v>78</v>
      </c>
      <c r="D8" s="13"/>
      <c r="E8" s="15"/>
      <c r="F8" s="14"/>
      <c r="G8" s="14"/>
      <c r="H8" s="14"/>
      <c r="I8" s="14"/>
      <c r="J8" s="14"/>
      <c r="K8" s="14"/>
    </row>
    <row r="9" spans="1:11" ht="6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ht="13.5" customHeight="1">
      <c r="A10" s="16" t="s">
        <v>9</v>
      </c>
      <c r="B10" s="16"/>
      <c r="C10" s="100"/>
      <c r="D10" s="14"/>
      <c r="E10" s="14"/>
      <c r="F10" s="14"/>
      <c r="G10" s="14"/>
      <c r="H10" s="14"/>
      <c r="I10" s="14"/>
      <c r="J10" s="14"/>
      <c r="K10" s="14"/>
    </row>
    <row r="11" spans="1:11" ht="13.5" customHeight="1">
      <c r="A11" s="17" t="s">
        <v>58</v>
      </c>
      <c r="B11" s="17"/>
      <c r="C11" s="17"/>
      <c r="D11" s="18"/>
      <c r="E11" s="18"/>
      <c r="F11" s="14"/>
      <c r="G11" s="14"/>
      <c r="H11" s="14"/>
      <c r="I11" s="14"/>
      <c r="J11" s="14"/>
      <c r="K11" s="14"/>
    </row>
    <row r="12" spans="1:11" ht="13.5" customHeight="1">
      <c r="A12" s="16" t="s">
        <v>10</v>
      </c>
      <c r="B12" s="16"/>
      <c r="C12" s="17"/>
      <c r="D12" s="18"/>
      <c r="E12" s="18"/>
      <c r="F12" s="14"/>
      <c r="G12" s="14"/>
      <c r="H12" s="14"/>
      <c r="I12" s="14"/>
      <c r="J12" s="14"/>
      <c r="K12" s="14"/>
    </row>
    <row r="13" spans="1:11" ht="13.5" customHeight="1">
      <c r="A13" s="16" t="s">
        <v>59</v>
      </c>
      <c r="B13" s="16"/>
      <c r="C13" s="16"/>
      <c r="D13" s="14"/>
      <c r="E13" s="14"/>
      <c r="F13" s="14"/>
      <c r="G13" s="14"/>
      <c r="H13" s="14"/>
      <c r="I13" s="14"/>
      <c r="J13" s="14"/>
      <c r="K13" s="14"/>
    </row>
    <row r="14" spans="1:11" ht="6" customHeight="1">
      <c r="A14" s="16"/>
      <c r="B14" s="16"/>
      <c r="C14" s="16"/>
      <c r="D14" s="14"/>
      <c r="E14" s="14"/>
      <c r="F14" s="14"/>
      <c r="G14" s="14"/>
      <c r="H14" s="14"/>
      <c r="I14" s="14"/>
      <c r="J14" s="14"/>
      <c r="K14" s="14"/>
    </row>
    <row r="15" spans="1:11" ht="13.5" customHeight="1">
      <c r="A15" s="17" t="s">
        <v>42</v>
      </c>
      <c r="B15" s="17" t="s">
        <v>60</v>
      </c>
      <c r="C15" s="19"/>
      <c r="D15" s="14"/>
      <c r="E15" s="14"/>
      <c r="F15" s="14"/>
      <c r="G15" s="14"/>
      <c r="H15" s="14"/>
      <c r="I15" s="14"/>
      <c r="J15" s="14"/>
      <c r="K15" s="14"/>
    </row>
    <row r="16" spans="1:11" ht="6" customHeight="1">
      <c r="A16" s="17"/>
      <c r="B16" s="17"/>
      <c r="C16" s="19"/>
      <c r="D16" s="14"/>
      <c r="E16" s="14"/>
      <c r="F16" s="14"/>
      <c r="G16" s="14"/>
      <c r="H16" s="14"/>
      <c r="I16" s="14"/>
      <c r="J16" s="14"/>
      <c r="K16" s="14"/>
    </row>
    <row r="17" spans="1:14" ht="13.5" customHeight="1">
      <c r="A17" s="16" t="s">
        <v>11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4" ht="13.5" customHeight="1">
      <c r="A18" s="16" t="s">
        <v>61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4" ht="13.5" customHeight="1">
      <c r="A19" s="16" t="s">
        <v>47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4" ht="15" customHeight="1">
      <c r="A20" s="20" t="s">
        <v>12</v>
      </c>
      <c r="B20" s="107" t="s">
        <v>13</v>
      </c>
      <c r="C20" s="110"/>
      <c r="D20" s="110"/>
      <c r="E20" s="110"/>
      <c r="F20" s="107" t="s">
        <v>14</v>
      </c>
      <c r="G20" s="108"/>
      <c r="H20" s="110" t="s">
        <v>15</v>
      </c>
      <c r="I20" s="108"/>
      <c r="J20" s="107" t="s">
        <v>16</v>
      </c>
      <c r="K20" s="108"/>
    </row>
    <row r="21" spans="1:14" ht="15" customHeight="1">
      <c r="A21" s="21" t="s">
        <v>17</v>
      </c>
      <c r="B21" s="22" t="s">
        <v>18</v>
      </c>
      <c r="C21" s="23"/>
      <c r="D21" s="23"/>
      <c r="E21" s="24"/>
      <c r="F21" s="25"/>
      <c r="G21" s="26"/>
      <c r="H21" s="27"/>
      <c r="I21" s="25"/>
      <c r="J21" s="21"/>
      <c r="K21" s="24"/>
      <c r="L21" s="7"/>
      <c r="M21" s="7"/>
    </row>
    <row r="22" spans="1:14" ht="13.5" customHeight="1">
      <c r="A22" s="28">
        <v>1</v>
      </c>
      <c r="B22" s="29" t="s">
        <v>45</v>
      </c>
      <c r="C22" s="30"/>
      <c r="D22" s="30"/>
      <c r="E22" s="31"/>
      <c r="F22" s="30" t="s">
        <v>0</v>
      </c>
      <c r="G22" s="32">
        <v>40000000</v>
      </c>
      <c r="H22" s="33">
        <v>1</v>
      </c>
      <c r="I22" s="16" t="s">
        <v>1</v>
      </c>
      <c r="J22" s="34" t="s">
        <v>0</v>
      </c>
      <c r="K22" s="35">
        <f>G22*H22</f>
        <v>40000000</v>
      </c>
      <c r="L22" s="7"/>
      <c r="M22" s="7"/>
    </row>
    <row r="23" spans="1:14" ht="15" customHeight="1">
      <c r="A23" s="36"/>
      <c r="B23" s="37"/>
      <c r="C23" s="38"/>
      <c r="D23" s="38"/>
      <c r="E23" s="39"/>
      <c r="F23" s="38"/>
      <c r="G23" s="40"/>
      <c r="H23" s="41" t="s">
        <v>19</v>
      </c>
      <c r="I23" s="38"/>
      <c r="J23" s="42" t="s">
        <v>0</v>
      </c>
      <c r="K23" s="43">
        <f>SUM(K22:K22)</f>
        <v>40000000</v>
      </c>
      <c r="N23" s="9"/>
    </row>
    <row r="24" spans="1:14" ht="15" customHeight="1">
      <c r="A24" s="44" t="s">
        <v>20</v>
      </c>
      <c r="B24" s="45" t="s">
        <v>21</v>
      </c>
      <c r="C24" s="16"/>
      <c r="D24" s="16"/>
      <c r="E24" s="46"/>
      <c r="F24" s="16"/>
      <c r="G24" s="32"/>
      <c r="H24" s="47"/>
      <c r="I24" s="46"/>
      <c r="J24" s="16"/>
      <c r="K24" s="32"/>
    </row>
    <row r="25" spans="1:14" ht="13.5" customHeight="1">
      <c r="A25" s="28">
        <v>1</v>
      </c>
      <c r="B25" s="47" t="s">
        <v>7</v>
      </c>
      <c r="C25" s="16"/>
      <c r="D25" s="16"/>
      <c r="E25" s="48"/>
      <c r="F25" s="30" t="s">
        <v>0</v>
      </c>
      <c r="G25" s="32">
        <v>2500000</v>
      </c>
      <c r="H25" s="33">
        <v>1</v>
      </c>
      <c r="I25" s="16" t="s">
        <v>1</v>
      </c>
      <c r="J25" s="34" t="s">
        <v>0</v>
      </c>
      <c r="K25" s="35">
        <f>G25*H25</f>
        <v>2500000</v>
      </c>
    </row>
    <row r="26" spans="1:14" ht="13.5" customHeight="1">
      <c r="A26" s="28">
        <v>2</v>
      </c>
      <c r="B26" s="47" t="s">
        <v>43</v>
      </c>
      <c r="C26" s="16"/>
      <c r="D26" s="16"/>
      <c r="E26" s="48"/>
      <c r="F26" s="30" t="s">
        <v>0</v>
      </c>
      <c r="G26" s="32">
        <v>2500000</v>
      </c>
      <c r="H26" s="33">
        <v>1</v>
      </c>
      <c r="I26" s="16" t="s">
        <v>1</v>
      </c>
      <c r="J26" s="34" t="s">
        <v>0</v>
      </c>
      <c r="K26" s="35">
        <f>G26*H26</f>
        <v>2500000</v>
      </c>
    </row>
    <row r="27" spans="1:14" ht="13.5" customHeight="1">
      <c r="A27" s="49">
        <v>3</v>
      </c>
      <c r="B27" s="16" t="s">
        <v>22</v>
      </c>
      <c r="C27" s="16"/>
      <c r="D27" s="16"/>
      <c r="E27" s="16"/>
      <c r="F27" s="47" t="s">
        <v>0</v>
      </c>
      <c r="G27" s="32">
        <v>500000</v>
      </c>
      <c r="H27" s="33">
        <v>7</v>
      </c>
      <c r="I27" s="46" t="s">
        <v>2</v>
      </c>
      <c r="J27" s="16" t="s">
        <v>0</v>
      </c>
      <c r="K27" s="50">
        <f>G27*H27</f>
        <v>3500000</v>
      </c>
    </row>
    <row r="28" spans="1:14" ht="15" customHeight="1">
      <c r="A28" s="51"/>
      <c r="B28" s="52"/>
      <c r="C28" s="38"/>
      <c r="D28" s="38"/>
      <c r="E28" s="53"/>
      <c r="F28" s="42"/>
      <c r="G28" s="54"/>
      <c r="H28" s="38" t="s">
        <v>23</v>
      </c>
      <c r="I28" s="39"/>
      <c r="J28" s="42" t="s">
        <v>0</v>
      </c>
      <c r="K28" s="43">
        <f>SUM(K25:K27)</f>
        <v>8500000</v>
      </c>
    </row>
    <row r="29" spans="1:14" ht="15" customHeight="1">
      <c r="A29" s="44" t="s">
        <v>24</v>
      </c>
      <c r="B29" s="45" t="s">
        <v>25</v>
      </c>
      <c r="C29" s="16"/>
      <c r="D29" s="16"/>
      <c r="E29" s="46"/>
      <c r="F29" s="47"/>
      <c r="G29" s="32"/>
      <c r="H29" s="55"/>
      <c r="I29" s="16"/>
      <c r="J29" s="47"/>
      <c r="K29" s="32"/>
      <c r="M29" s="7"/>
    </row>
    <row r="30" spans="1:14" ht="13.5" customHeight="1">
      <c r="A30" s="56">
        <v>1</v>
      </c>
      <c r="B30" s="47" t="s">
        <v>44</v>
      </c>
      <c r="C30" s="16"/>
      <c r="D30" s="16"/>
      <c r="E30" s="57"/>
      <c r="F30" s="16" t="s">
        <v>0</v>
      </c>
      <c r="G30" s="32">
        <v>350000</v>
      </c>
      <c r="H30" s="16">
        <v>1</v>
      </c>
      <c r="I30" s="16" t="s">
        <v>4</v>
      </c>
      <c r="J30" s="47" t="s">
        <v>0</v>
      </c>
      <c r="K30" s="58">
        <f t="shared" ref="K30:K32" si="0">G30*H30</f>
        <v>350000</v>
      </c>
    </row>
    <row r="31" spans="1:14" ht="13.5" customHeight="1">
      <c r="A31" s="56">
        <v>2</v>
      </c>
      <c r="B31" s="47" t="s">
        <v>50</v>
      </c>
      <c r="C31" s="16"/>
      <c r="D31" s="16"/>
      <c r="E31" s="57"/>
      <c r="F31" s="16" t="s">
        <v>0</v>
      </c>
      <c r="G31" s="32">
        <v>300000</v>
      </c>
      <c r="H31" s="16">
        <v>1</v>
      </c>
      <c r="I31" s="16" t="s">
        <v>4</v>
      </c>
      <c r="J31" s="47" t="s">
        <v>0</v>
      </c>
      <c r="K31" s="58">
        <f t="shared" si="0"/>
        <v>300000</v>
      </c>
    </row>
    <row r="32" spans="1:14" ht="13.5" customHeight="1">
      <c r="A32" s="56">
        <v>3</v>
      </c>
      <c r="B32" s="47" t="s">
        <v>62</v>
      </c>
      <c r="C32" s="16"/>
      <c r="D32" s="16"/>
      <c r="E32" s="57"/>
      <c r="F32" s="16" t="s">
        <v>0</v>
      </c>
      <c r="G32" s="32">
        <v>150000</v>
      </c>
      <c r="H32" s="16">
        <v>1</v>
      </c>
      <c r="I32" s="16" t="s">
        <v>4</v>
      </c>
      <c r="J32" s="47" t="s">
        <v>0</v>
      </c>
      <c r="K32" s="58">
        <f t="shared" si="0"/>
        <v>150000</v>
      </c>
    </row>
    <row r="33" spans="1:15" ht="15" customHeight="1">
      <c r="A33" s="59"/>
      <c r="B33" s="42"/>
      <c r="C33" s="38"/>
      <c r="D33" s="38"/>
      <c r="E33" s="39"/>
      <c r="F33" s="37"/>
      <c r="G33" s="54"/>
      <c r="H33" s="60" t="s">
        <v>26</v>
      </c>
      <c r="I33" s="39"/>
      <c r="J33" s="42" t="s">
        <v>0</v>
      </c>
      <c r="K33" s="43">
        <f>SUM(K30:K32)</f>
        <v>800000</v>
      </c>
    </row>
    <row r="34" spans="1:15" ht="15" customHeight="1">
      <c r="A34" s="44" t="s">
        <v>27</v>
      </c>
      <c r="B34" s="45" t="s">
        <v>28</v>
      </c>
      <c r="C34" s="16"/>
      <c r="D34" s="16"/>
      <c r="E34" s="46"/>
      <c r="F34" s="16"/>
      <c r="G34" s="32"/>
      <c r="H34" s="55"/>
      <c r="I34" s="16"/>
      <c r="J34" s="45"/>
      <c r="K34" s="61"/>
      <c r="M34" s="10"/>
    </row>
    <row r="35" spans="1:15" ht="13.5" customHeight="1">
      <c r="A35" s="28">
        <v>1</v>
      </c>
      <c r="B35" s="47" t="s">
        <v>51</v>
      </c>
      <c r="C35" s="16"/>
      <c r="D35" s="16"/>
      <c r="E35" s="46"/>
      <c r="F35" s="16" t="s">
        <v>0</v>
      </c>
      <c r="G35" s="32">
        <v>600000</v>
      </c>
      <c r="H35" s="55">
        <v>7</v>
      </c>
      <c r="I35" s="16" t="s">
        <v>3</v>
      </c>
      <c r="J35" s="47" t="s">
        <v>0</v>
      </c>
      <c r="K35" s="62">
        <f>G35*H35</f>
        <v>4200000</v>
      </c>
      <c r="M35" s="10"/>
    </row>
    <row r="36" spans="1:15" ht="13.5" customHeight="1">
      <c r="A36" s="28">
        <v>2</v>
      </c>
      <c r="B36" s="47" t="s">
        <v>52</v>
      </c>
      <c r="C36" s="16"/>
      <c r="D36" s="16"/>
      <c r="E36" s="46"/>
      <c r="F36" s="16" t="s">
        <v>0</v>
      </c>
      <c r="G36" s="32">
        <v>3000000</v>
      </c>
      <c r="H36" s="55">
        <v>1</v>
      </c>
      <c r="I36" s="16" t="s">
        <v>1</v>
      </c>
      <c r="J36" s="47" t="s">
        <v>0</v>
      </c>
      <c r="K36" s="62">
        <f>G36*H36</f>
        <v>3000000</v>
      </c>
      <c r="M36" s="10"/>
    </row>
    <row r="37" spans="1:15" ht="15" customHeight="1">
      <c r="A37" s="59"/>
      <c r="B37" s="52"/>
      <c r="C37" s="38"/>
      <c r="D37" s="38"/>
      <c r="E37" s="39"/>
      <c r="F37" s="42"/>
      <c r="G37" s="54"/>
      <c r="H37" s="60" t="s">
        <v>29</v>
      </c>
      <c r="I37" s="39"/>
      <c r="J37" s="42" t="s">
        <v>0</v>
      </c>
      <c r="K37" s="63">
        <f>SUM(K35:K36)</f>
        <v>7200000</v>
      </c>
      <c r="M37" s="7"/>
    </row>
    <row r="38" spans="1:15" ht="15" customHeight="1">
      <c r="A38" s="44" t="s">
        <v>30</v>
      </c>
      <c r="B38" s="45" t="s">
        <v>31</v>
      </c>
      <c r="C38" s="16"/>
      <c r="D38" s="16"/>
      <c r="E38" s="46"/>
      <c r="F38" s="16"/>
      <c r="G38" s="32"/>
      <c r="H38" s="55"/>
      <c r="I38" s="16"/>
      <c r="J38" s="45"/>
      <c r="K38" s="61"/>
      <c r="M38" s="7"/>
    </row>
    <row r="39" spans="1:15" ht="13.5" customHeight="1">
      <c r="A39" s="28">
        <v>1</v>
      </c>
      <c r="B39" s="64" t="s">
        <v>32</v>
      </c>
      <c r="C39" s="65"/>
      <c r="D39" s="65"/>
      <c r="E39" s="46"/>
      <c r="F39" s="65" t="s">
        <v>0</v>
      </c>
      <c r="G39" s="32">
        <v>3000000</v>
      </c>
      <c r="H39" s="66">
        <v>1</v>
      </c>
      <c r="I39" s="65" t="s">
        <v>1</v>
      </c>
      <c r="J39" s="47" t="s">
        <v>0</v>
      </c>
      <c r="K39" s="32">
        <f>G39*H39</f>
        <v>3000000</v>
      </c>
      <c r="M39" s="7"/>
    </row>
    <row r="40" spans="1:15" ht="13.5" customHeight="1">
      <c r="A40" s="67">
        <v>2</v>
      </c>
      <c r="B40" s="68" t="s">
        <v>33</v>
      </c>
      <c r="C40" s="69"/>
      <c r="D40" s="69">
        <v>7</v>
      </c>
      <c r="E40" s="70" t="s">
        <v>2</v>
      </c>
      <c r="F40" s="69" t="s">
        <v>0</v>
      </c>
      <c r="G40" s="71">
        <v>75000</v>
      </c>
      <c r="H40" s="72">
        <v>8</v>
      </c>
      <c r="I40" s="69" t="s">
        <v>4</v>
      </c>
      <c r="J40" s="68" t="s">
        <v>0</v>
      </c>
      <c r="K40" s="71">
        <f>D40*G40*H40</f>
        <v>4200000</v>
      </c>
      <c r="M40" s="7"/>
    </row>
    <row r="41" spans="1:15" ht="15" customHeight="1">
      <c r="A41" s="28"/>
      <c r="B41" s="47"/>
      <c r="C41" s="16"/>
      <c r="D41" s="16"/>
      <c r="E41" s="46"/>
      <c r="F41" s="16"/>
      <c r="G41" s="32"/>
      <c r="H41" s="55" t="s">
        <v>34</v>
      </c>
      <c r="I41" s="16"/>
      <c r="J41" s="45" t="s">
        <v>0</v>
      </c>
      <c r="K41" s="61">
        <f>SUM(K39:K40)</f>
        <v>7200000</v>
      </c>
      <c r="M41" s="7"/>
    </row>
    <row r="42" spans="1:15" ht="15" customHeight="1">
      <c r="A42" s="44" t="s">
        <v>35</v>
      </c>
      <c r="B42" s="45" t="s">
        <v>36</v>
      </c>
      <c r="C42" s="16"/>
      <c r="D42" s="16"/>
      <c r="E42" s="46"/>
      <c r="F42" s="16"/>
      <c r="G42" s="32"/>
      <c r="H42" s="55"/>
      <c r="I42" s="16"/>
      <c r="J42" s="47"/>
      <c r="K42" s="32"/>
      <c r="M42" s="7"/>
    </row>
    <row r="43" spans="1:15" ht="13.5" customHeight="1">
      <c r="A43" s="101">
        <v>1</v>
      </c>
      <c r="B43" s="47" t="s">
        <v>5</v>
      </c>
      <c r="C43" s="16"/>
      <c r="D43" s="16"/>
      <c r="E43" s="46"/>
      <c r="F43" s="73" t="s">
        <v>0</v>
      </c>
      <c r="G43" s="74">
        <v>1000000</v>
      </c>
      <c r="H43" s="75">
        <v>1</v>
      </c>
      <c r="I43" s="73" t="s">
        <v>1</v>
      </c>
      <c r="J43" s="76" t="s">
        <v>0</v>
      </c>
      <c r="K43" s="74">
        <f>G43*H43</f>
        <v>1000000</v>
      </c>
      <c r="M43" s="7"/>
    </row>
    <row r="44" spans="1:15" ht="13.5" customHeight="1">
      <c r="A44" s="102">
        <v>2</v>
      </c>
      <c r="B44" s="47" t="s">
        <v>48</v>
      </c>
      <c r="C44" s="16"/>
      <c r="D44" s="16"/>
      <c r="E44" s="46"/>
      <c r="F44" s="73" t="s">
        <v>0</v>
      </c>
      <c r="G44" s="74">
        <v>1000000</v>
      </c>
      <c r="H44" s="75">
        <v>1</v>
      </c>
      <c r="I44" s="73" t="s">
        <v>1</v>
      </c>
      <c r="J44" s="76" t="s">
        <v>0</v>
      </c>
      <c r="K44" s="74">
        <f>G44*H44</f>
        <v>1000000</v>
      </c>
      <c r="M44" s="7"/>
    </row>
    <row r="45" spans="1:15" ht="13.5" customHeight="1">
      <c r="A45" s="77"/>
      <c r="B45" s="38"/>
      <c r="C45" s="38"/>
      <c r="D45" s="38"/>
      <c r="E45" s="38"/>
      <c r="F45" s="38"/>
      <c r="G45" s="60"/>
      <c r="H45" s="78" t="s">
        <v>37</v>
      </c>
      <c r="I45" s="79"/>
      <c r="J45" s="80" t="s">
        <v>0</v>
      </c>
      <c r="K45" s="81">
        <f>SUM(K43:K44)</f>
        <v>2000000</v>
      </c>
    </row>
    <row r="46" spans="1:15" ht="13.5" customHeight="1">
      <c r="A46" s="82"/>
      <c r="B46" s="83" t="s">
        <v>39</v>
      </c>
      <c r="C46" s="84"/>
      <c r="D46" s="16"/>
      <c r="E46" s="16"/>
      <c r="F46" s="16"/>
      <c r="G46" s="55"/>
      <c r="H46" s="92" t="s">
        <v>38</v>
      </c>
      <c r="I46" s="38"/>
      <c r="J46" s="42" t="s">
        <v>0</v>
      </c>
      <c r="K46" s="43">
        <f>K23+K28+K33+K37+K41+K45</f>
        <v>65700000</v>
      </c>
    </row>
    <row r="47" spans="1:15" ht="13.5" customHeight="1">
      <c r="A47" s="30" t="s">
        <v>6</v>
      </c>
      <c r="B47" s="16" t="s">
        <v>53</v>
      </c>
      <c r="C47" s="84"/>
      <c r="D47" s="16"/>
      <c r="E47" s="16"/>
      <c r="F47" s="16"/>
      <c r="G47" s="55"/>
      <c r="H47" s="93" t="s">
        <v>81</v>
      </c>
      <c r="I47" s="70"/>
      <c r="J47" s="94" t="s">
        <v>0</v>
      </c>
      <c r="K47" s="95">
        <f>K46*0.025</f>
        <v>1642500</v>
      </c>
    </row>
    <row r="48" spans="1:15" ht="13.5" customHeight="1">
      <c r="A48" s="30" t="s">
        <v>6</v>
      </c>
      <c r="B48" s="16" t="s">
        <v>57</v>
      </c>
      <c r="C48" s="84"/>
      <c r="D48" s="16"/>
      <c r="E48" s="16"/>
      <c r="F48" s="16"/>
      <c r="G48" s="55"/>
      <c r="H48" s="93" t="s">
        <v>55</v>
      </c>
      <c r="I48" s="70"/>
      <c r="J48" s="94" t="s">
        <v>0</v>
      </c>
      <c r="K48" s="95">
        <f>K46-K47</f>
        <v>64057500</v>
      </c>
      <c r="N48" s="30"/>
      <c r="O48" s="16"/>
    </row>
    <row r="49" spans="1:15" ht="13.5" customHeight="1">
      <c r="A49" s="30" t="s">
        <v>6</v>
      </c>
      <c r="B49" s="16" t="s">
        <v>76</v>
      </c>
      <c r="C49" s="84"/>
      <c r="D49" s="16"/>
      <c r="E49" s="16"/>
      <c r="F49" s="16"/>
      <c r="G49" s="55"/>
      <c r="H49" s="88"/>
      <c r="I49" s="65"/>
      <c r="J49" s="89"/>
      <c r="K49" s="103"/>
      <c r="N49" s="30"/>
      <c r="O49" s="16"/>
    </row>
    <row r="50" spans="1:15" ht="13.5" customHeight="1">
      <c r="A50" s="30" t="s">
        <v>6</v>
      </c>
      <c r="B50" s="16" t="s">
        <v>63</v>
      </c>
      <c r="C50" s="84"/>
      <c r="D50" s="84"/>
      <c r="E50" s="84"/>
      <c r="F50" s="16"/>
      <c r="G50" s="55"/>
      <c r="K50" s="99"/>
      <c r="M50" s="87"/>
      <c r="N50" s="30"/>
      <c r="O50" s="16"/>
    </row>
    <row r="51" spans="1:15" ht="13.5" customHeight="1">
      <c r="A51" s="30" t="s">
        <v>6</v>
      </c>
      <c r="B51" s="16" t="s">
        <v>56</v>
      </c>
      <c r="C51" s="84"/>
      <c r="D51" s="84"/>
      <c r="E51" s="84"/>
      <c r="F51" s="16"/>
      <c r="G51" s="55"/>
      <c r="H51" s="88"/>
      <c r="I51" s="65"/>
      <c r="J51" s="89"/>
      <c r="K51" s="96"/>
      <c r="N51" s="30"/>
      <c r="O51" s="16"/>
    </row>
    <row r="52" spans="1:15" ht="13.5" customHeight="1">
      <c r="A52" s="30" t="s">
        <v>6</v>
      </c>
      <c r="B52" s="16" t="s">
        <v>49</v>
      </c>
      <c r="C52" s="84"/>
      <c r="D52" s="84"/>
      <c r="E52" s="84"/>
      <c r="F52" s="16"/>
      <c r="G52" s="55"/>
      <c r="H52" s="88"/>
      <c r="I52" s="65"/>
      <c r="J52" s="89"/>
      <c r="K52" s="96"/>
      <c r="L52" s="30"/>
      <c r="M52" s="16"/>
      <c r="N52" s="30"/>
      <c r="O52" s="16"/>
    </row>
    <row r="53" spans="1:15" ht="13.5">
      <c r="A53" s="30" t="s">
        <v>6</v>
      </c>
      <c r="B53" s="16" t="s">
        <v>64</v>
      </c>
      <c r="C53" s="16"/>
      <c r="D53" s="84"/>
      <c r="E53" s="84"/>
      <c r="F53" s="16"/>
      <c r="G53" s="55"/>
      <c r="H53" s="16"/>
      <c r="I53" s="16"/>
      <c r="J53" s="16"/>
      <c r="K53" s="98"/>
      <c r="M53" s="30"/>
      <c r="N53" s="30"/>
      <c r="O53" s="16"/>
    </row>
    <row r="54" spans="1:15" ht="13.5" customHeight="1">
      <c r="A54" s="30" t="s">
        <v>6</v>
      </c>
      <c r="B54" s="16" t="s">
        <v>65</v>
      </c>
      <c r="C54" s="16"/>
      <c r="D54" s="84"/>
      <c r="E54" s="84"/>
      <c r="F54" s="16"/>
      <c r="G54" s="55"/>
      <c r="H54" s="16"/>
      <c r="I54" s="16"/>
      <c r="J54" s="16"/>
      <c r="K54" s="19"/>
      <c r="M54" s="30"/>
    </row>
    <row r="55" spans="1:15" ht="13.5" customHeight="1">
      <c r="A55" s="30" t="s">
        <v>6</v>
      </c>
      <c r="B55" s="16" t="s">
        <v>66</v>
      </c>
      <c r="C55" s="16"/>
      <c r="D55" s="16"/>
      <c r="E55" s="16"/>
      <c r="F55" s="16"/>
      <c r="G55" s="16"/>
      <c r="H55" s="14"/>
      <c r="I55" s="14"/>
      <c r="J55" s="14"/>
      <c r="K55" s="19"/>
      <c r="M55" s="30"/>
      <c r="N55" s="30"/>
      <c r="O55" s="16"/>
    </row>
    <row r="56" spans="1:15" ht="13.5" customHeight="1">
      <c r="A56" s="30" t="s">
        <v>6</v>
      </c>
      <c r="B56" s="16" t="s">
        <v>67</v>
      </c>
      <c r="C56" s="16"/>
      <c r="D56" s="16"/>
      <c r="E56" s="16"/>
      <c r="F56" s="16"/>
      <c r="G56" s="16"/>
      <c r="H56" s="14"/>
      <c r="I56" s="14"/>
      <c r="J56" s="14"/>
      <c r="K56" s="19"/>
      <c r="M56" s="30"/>
      <c r="N56" s="30"/>
      <c r="O56" s="16"/>
    </row>
    <row r="57" spans="1:15" ht="13.5" customHeight="1">
      <c r="A57" s="30" t="s">
        <v>6</v>
      </c>
      <c r="B57" s="16" t="s">
        <v>68</v>
      </c>
      <c r="C57" s="16"/>
      <c r="D57" s="16"/>
      <c r="E57" s="16"/>
      <c r="F57" s="16"/>
      <c r="G57" s="16"/>
      <c r="H57" s="14"/>
      <c r="I57" s="14"/>
      <c r="J57" s="14"/>
      <c r="K57" s="97"/>
      <c r="M57" s="30"/>
      <c r="N57" s="30"/>
      <c r="O57" s="16"/>
    </row>
    <row r="58" spans="1:15" ht="13.5">
      <c r="A58" s="30" t="s">
        <v>6</v>
      </c>
      <c r="B58" s="16" t="s">
        <v>69</v>
      </c>
      <c r="C58" s="84"/>
      <c r="D58" s="84"/>
      <c r="E58" s="84"/>
      <c r="F58" s="16"/>
      <c r="G58" s="55"/>
      <c r="H58" s="16"/>
      <c r="I58" s="16"/>
      <c r="J58" s="16"/>
      <c r="K58" s="19"/>
      <c r="M58" s="30"/>
      <c r="N58" s="30"/>
      <c r="O58" s="16"/>
    </row>
    <row r="59" spans="1:15" ht="13.5">
      <c r="A59" s="30" t="s">
        <v>6</v>
      </c>
      <c r="B59" s="16" t="s">
        <v>70</v>
      </c>
      <c r="C59" s="84"/>
      <c r="D59" s="84"/>
      <c r="E59" s="84"/>
      <c r="F59" s="16"/>
      <c r="G59" s="55"/>
      <c r="H59" s="16"/>
      <c r="I59" s="16"/>
      <c r="J59" s="16"/>
      <c r="K59" s="19"/>
      <c r="M59" s="30"/>
      <c r="N59" s="30"/>
      <c r="O59" s="16"/>
    </row>
    <row r="60" spans="1:15" ht="13.5" customHeight="1">
      <c r="A60" s="30" t="s">
        <v>6</v>
      </c>
      <c r="B60" s="16" t="s">
        <v>71</v>
      </c>
      <c r="C60" s="16"/>
      <c r="D60" s="16"/>
      <c r="E60" s="16"/>
      <c r="F60" s="16"/>
      <c r="G60" s="16"/>
      <c r="H60" s="14"/>
      <c r="I60" s="14"/>
      <c r="J60" s="14"/>
      <c r="K60" s="19"/>
      <c r="M60" s="30"/>
      <c r="N60" s="30"/>
      <c r="O60" s="16"/>
    </row>
    <row r="61" spans="1:15" ht="13.5" customHeight="1">
      <c r="A61" s="30" t="s">
        <v>6</v>
      </c>
      <c r="B61" s="16" t="s">
        <v>72</v>
      </c>
      <c r="C61" s="16"/>
      <c r="D61" s="16"/>
      <c r="E61" s="16"/>
      <c r="F61" s="16"/>
      <c r="G61" s="16"/>
      <c r="H61" s="14"/>
      <c r="I61" s="14"/>
      <c r="J61" s="14"/>
      <c r="K61" s="19"/>
      <c r="M61" s="30"/>
      <c r="N61" s="30"/>
      <c r="O61" s="16"/>
    </row>
    <row r="62" spans="1:15" ht="13.5" customHeight="1">
      <c r="A62" s="30" t="s">
        <v>6</v>
      </c>
      <c r="B62" s="16" t="s">
        <v>73</v>
      </c>
      <c r="C62" s="16"/>
      <c r="D62" s="16"/>
      <c r="E62" s="16"/>
      <c r="F62" s="16"/>
      <c r="G62" s="16"/>
      <c r="H62" s="14"/>
      <c r="I62" s="14"/>
      <c r="J62" s="14"/>
      <c r="K62" s="19"/>
      <c r="M62" s="30"/>
      <c r="N62" s="30"/>
      <c r="O62" s="16"/>
    </row>
    <row r="63" spans="1:15" ht="13.5" customHeight="1">
      <c r="A63" s="30" t="s">
        <v>6</v>
      </c>
      <c r="B63" s="16" t="s">
        <v>74</v>
      </c>
      <c r="C63" s="16"/>
      <c r="D63" s="16"/>
      <c r="E63" s="16"/>
      <c r="F63" s="16"/>
      <c r="G63" s="16"/>
      <c r="H63" s="14"/>
      <c r="I63" s="14"/>
      <c r="J63" s="14"/>
      <c r="K63" s="19"/>
      <c r="M63" s="30"/>
      <c r="N63" s="30"/>
      <c r="O63" s="16"/>
    </row>
    <row r="64" spans="1:15" ht="13.5">
      <c r="A64" s="30" t="s">
        <v>6</v>
      </c>
      <c r="B64" s="16" t="s">
        <v>75</v>
      </c>
      <c r="C64" s="84"/>
      <c r="D64" s="84"/>
      <c r="E64" s="84"/>
      <c r="F64" s="16"/>
      <c r="G64" s="55"/>
      <c r="H64" s="16"/>
      <c r="I64" s="16"/>
      <c r="J64" s="16"/>
      <c r="K64" s="19"/>
      <c r="M64" s="12"/>
      <c r="N64" s="30"/>
      <c r="O64" s="16"/>
    </row>
    <row r="65" spans="1:15" ht="9" customHeight="1">
      <c r="A65" s="30"/>
      <c r="B65" s="16"/>
      <c r="C65" s="84"/>
      <c r="D65" s="84"/>
      <c r="E65" s="84"/>
      <c r="F65" s="16"/>
      <c r="G65" s="55"/>
      <c r="H65" s="16"/>
      <c r="I65" s="16"/>
      <c r="J65" s="16"/>
      <c r="K65" s="19"/>
      <c r="N65" s="30"/>
      <c r="O65" s="16"/>
    </row>
    <row r="66" spans="1:15" ht="13.5" customHeight="1">
      <c r="A66" s="16" t="s">
        <v>40</v>
      </c>
      <c r="B66" s="16"/>
      <c r="C66" s="16"/>
      <c r="D66" s="16"/>
      <c r="E66" s="16"/>
      <c r="F66" s="16"/>
      <c r="G66" s="16"/>
      <c r="H66" s="14"/>
      <c r="I66" s="14"/>
      <c r="J66" s="14"/>
      <c r="K66" s="14"/>
      <c r="L66" s="11"/>
      <c r="M66" s="8"/>
      <c r="N66" s="30"/>
      <c r="O66" s="16"/>
    </row>
    <row r="67" spans="1:15" ht="9" customHeight="1">
      <c r="A67" s="30"/>
      <c r="B67" s="16"/>
      <c r="C67" s="16"/>
      <c r="D67" s="16"/>
      <c r="E67" s="16"/>
      <c r="F67" s="16"/>
      <c r="G67" s="16"/>
      <c r="H67" s="14"/>
      <c r="I67" s="14"/>
      <c r="J67" s="14"/>
      <c r="K67" s="14"/>
    </row>
    <row r="68" spans="1:15" ht="13.5" customHeight="1">
      <c r="A68" s="16" t="s">
        <v>82</v>
      </c>
      <c r="B68" s="16"/>
      <c r="C68" s="16"/>
      <c r="D68" s="16"/>
      <c r="E68" s="16"/>
      <c r="F68" s="16"/>
      <c r="G68" s="16"/>
      <c r="H68" s="14"/>
      <c r="I68" s="14"/>
      <c r="J68" s="14"/>
      <c r="K68" s="14"/>
    </row>
    <row r="69" spans="1:15" ht="13.5" customHeight="1">
      <c r="A69" s="16" t="s">
        <v>46</v>
      </c>
      <c r="B69" s="16"/>
      <c r="C69" s="16"/>
      <c r="D69" s="16"/>
      <c r="E69" s="16"/>
      <c r="F69" s="16"/>
      <c r="G69" s="16"/>
      <c r="H69" s="14"/>
      <c r="I69" s="14"/>
      <c r="J69" s="14"/>
      <c r="K69" s="14"/>
    </row>
    <row r="70" spans="1:15" ht="13.5" customHeight="1">
      <c r="A70" s="16"/>
      <c r="B70" s="16"/>
      <c r="C70" s="16"/>
      <c r="D70" s="16"/>
      <c r="E70" s="16"/>
      <c r="F70" s="16"/>
      <c r="G70" s="16"/>
      <c r="H70" s="14"/>
      <c r="I70" s="14"/>
      <c r="J70" s="15"/>
      <c r="K70" s="15"/>
    </row>
    <row r="71" spans="1:15" ht="13.5" customHeight="1">
      <c r="A71" s="16"/>
      <c r="B71" s="16"/>
      <c r="C71" s="16"/>
      <c r="D71" s="16"/>
      <c r="E71" s="16"/>
      <c r="F71" s="16"/>
      <c r="G71" s="16"/>
      <c r="H71" s="14"/>
      <c r="I71" s="14"/>
      <c r="J71" s="19"/>
      <c r="K71" s="19"/>
    </row>
    <row r="72" spans="1:15" ht="13.5" customHeight="1">
      <c r="A72" s="16"/>
      <c r="B72" s="16"/>
      <c r="C72" s="16"/>
      <c r="D72" s="16"/>
      <c r="E72" s="16"/>
      <c r="F72" s="84"/>
      <c r="G72" s="84"/>
      <c r="H72" s="15"/>
      <c r="I72" s="15"/>
      <c r="J72" s="19"/>
      <c r="K72" s="19"/>
    </row>
    <row r="73" spans="1:15" ht="13.5" customHeight="1">
      <c r="A73" s="84"/>
      <c r="B73" s="16"/>
      <c r="C73" s="16"/>
      <c r="D73" s="16"/>
      <c r="E73" s="16"/>
      <c r="F73" s="84"/>
      <c r="G73" s="84"/>
      <c r="H73" s="19"/>
      <c r="I73" s="19"/>
      <c r="J73" s="19"/>
      <c r="K73" s="19"/>
    </row>
    <row r="74" spans="1:15" ht="13.5" customHeight="1">
      <c r="A74" s="90" t="s">
        <v>41</v>
      </c>
      <c r="B74" s="84"/>
      <c r="C74" s="84"/>
      <c r="D74" s="84"/>
      <c r="E74" s="84"/>
      <c r="F74" s="84"/>
      <c r="G74" s="84"/>
      <c r="H74" s="19"/>
      <c r="I74" s="19"/>
      <c r="J74" s="19"/>
      <c r="K74" s="19"/>
    </row>
    <row r="75" spans="1:15">
      <c r="A75" s="19"/>
      <c r="B75" s="84"/>
      <c r="C75" s="84"/>
      <c r="D75" s="84"/>
      <c r="E75" s="84"/>
      <c r="F75" s="84"/>
      <c r="G75" s="84"/>
      <c r="H75" s="19"/>
      <c r="I75" s="19"/>
      <c r="J75" s="19"/>
      <c r="K75" s="19"/>
    </row>
  </sheetData>
  <mergeCells count="6">
    <mergeCell ref="J20:K20"/>
    <mergeCell ref="A7:B7"/>
    <mergeCell ref="A8:B8"/>
    <mergeCell ref="B20:E20"/>
    <mergeCell ref="F20:G20"/>
    <mergeCell ref="H20:I20"/>
  </mergeCells>
  <pageMargins left="0.31496062992126" right="0" top="0.25" bottom="0.25" header="0.31496062992126" footer="0.31496062992126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5"/>
  <sheetViews>
    <sheetView workbookViewId="0">
      <selection activeCell="A69" sqref="A69"/>
    </sheetView>
  </sheetViews>
  <sheetFormatPr defaultColWidth="9" defaultRowHeight="12.75"/>
  <cols>
    <col min="1" max="1" width="4.85546875" customWidth="1"/>
    <col min="5" max="5" width="12.7109375" customWidth="1"/>
    <col min="6" max="6" width="3.140625" customWidth="1"/>
    <col min="7" max="7" width="12" customWidth="1"/>
    <col min="8" max="8" width="6.42578125" customWidth="1"/>
    <col min="9" max="9" width="7.42578125" customWidth="1"/>
    <col min="10" max="10" width="3.42578125" customWidth="1"/>
    <col min="11" max="11" width="13" customWidth="1"/>
    <col min="12" max="12" width="9.7109375" customWidth="1"/>
    <col min="13" max="13" width="8.85546875" customWidth="1"/>
    <col min="14" max="14" width="11.85546875" customWidth="1"/>
    <col min="15" max="15" width="9.42578125" customWidth="1"/>
  </cols>
  <sheetData>
    <row r="1" spans="1:11">
      <c r="F1" s="1"/>
    </row>
    <row r="2" spans="1:11" ht="18.75" customHeight="1">
      <c r="F2" s="2"/>
    </row>
    <row r="3" spans="1:11" ht="13.5" customHeight="1">
      <c r="A3" s="3"/>
      <c r="B3" s="3"/>
      <c r="C3" s="3"/>
      <c r="D3" s="3"/>
      <c r="F3" s="4"/>
    </row>
    <row r="4" spans="1:11" ht="15" customHeight="1">
      <c r="F4" s="5"/>
    </row>
    <row r="5" spans="1:11" ht="15" customHeight="1">
      <c r="F5" s="5"/>
    </row>
    <row r="6" spans="1:11" ht="16.5" customHeight="1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3.5" customHeight="1" thickTop="1">
      <c r="A7" s="109" t="s">
        <v>8</v>
      </c>
      <c r="B7" s="109"/>
      <c r="C7" s="104" t="s">
        <v>77</v>
      </c>
      <c r="D7" s="13"/>
      <c r="E7" s="14"/>
      <c r="F7" s="14"/>
      <c r="G7" s="14"/>
      <c r="H7" s="14"/>
      <c r="I7" s="14"/>
      <c r="J7" s="14"/>
      <c r="K7" s="14"/>
    </row>
    <row r="8" spans="1:11" ht="13.5" customHeight="1">
      <c r="A8" s="109" t="s">
        <v>54</v>
      </c>
      <c r="B8" s="109"/>
      <c r="C8" s="104" t="s">
        <v>78</v>
      </c>
      <c r="D8" s="13"/>
      <c r="E8" s="15"/>
      <c r="F8" s="14"/>
      <c r="G8" s="14"/>
      <c r="H8" s="14"/>
      <c r="I8" s="14"/>
      <c r="J8" s="14"/>
      <c r="K8" s="14"/>
    </row>
    <row r="9" spans="1:11" ht="6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ht="13.5" customHeight="1">
      <c r="A10" s="16" t="s">
        <v>9</v>
      </c>
      <c r="B10" s="16"/>
      <c r="C10" s="100"/>
      <c r="D10" s="14"/>
      <c r="E10" s="14"/>
      <c r="F10" s="14"/>
      <c r="G10" s="14"/>
      <c r="H10" s="14"/>
      <c r="I10" s="14"/>
      <c r="J10" s="14"/>
      <c r="K10" s="14"/>
    </row>
    <row r="11" spans="1:11" ht="13.5" customHeight="1">
      <c r="A11" s="17" t="s">
        <v>58</v>
      </c>
      <c r="B11" s="17"/>
      <c r="C11" s="17"/>
      <c r="D11" s="18"/>
      <c r="E11" s="18"/>
      <c r="F11" s="14"/>
      <c r="G11" s="14"/>
      <c r="H11" s="14"/>
      <c r="I11" s="14"/>
      <c r="J11" s="14"/>
      <c r="K11" s="14"/>
    </row>
    <row r="12" spans="1:11" ht="13.5" customHeight="1">
      <c r="A12" s="16" t="s">
        <v>10</v>
      </c>
      <c r="B12" s="16"/>
      <c r="C12" s="17"/>
      <c r="D12" s="18"/>
      <c r="E12" s="18"/>
      <c r="F12" s="14"/>
      <c r="G12" s="14"/>
      <c r="H12" s="14"/>
      <c r="I12" s="14"/>
      <c r="J12" s="14"/>
      <c r="K12" s="14"/>
    </row>
    <row r="13" spans="1:11" ht="13.5" customHeight="1">
      <c r="A13" s="16" t="s">
        <v>59</v>
      </c>
      <c r="B13" s="16"/>
      <c r="C13" s="16"/>
      <c r="D13" s="14"/>
      <c r="E13" s="14"/>
      <c r="F13" s="14"/>
      <c r="G13" s="14"/>
      <c r="H13" s="14"/>
      <c r="I13" s="14"/>
      <c r="J13" s="14"/>
      <c r="K13" s="14"/>
    </row>
    <row r="14" spans="1:11" ht="6" customHeight="1">
      <c r="A14" s="16"/>
      <c r="B14" s="16"/>
      <c r="C14" s="16"/>
      <c r="D14" s="14"/>
      <c r="E14" s="14"/>
      <c r="F14" s="14"/>
      <c r="G14" s="14"/>
      <c r="H14" s="14"/>
      <c r="I14" s="14"/>
      <c r="J14" s="14"/>
      <c r="K14" s="14"/>
    </row>
    <row r="15" spans="1:11" ht="13.5" customHeight="1">
      <c r="A15" s="17" t="s">
        <v>42</v>
      </c>
      <c r="B15" s="17" t="s">
        <v>60</v>
      </c>
      <c r="C15" s="19"/>
      <c r="D15" s="14"/>
      <c r="E15" s="14"/>
      <c r="F15" s="14"/>
      <c r="G15" s="14"/>
      <c r="H15" s="14"/>
      <c r="I15" s="14"/>
      <c r="J15" s="14"/>
      <c r="K15" s="14"/>
    </row>
    <row r="16" spans="1:11" ht="6" customHeight="1">
      <c r="A16" s="17"/>
      <c r="B16" s="17"/>
      <c r="C16" s="19"/>
      <c r="D16" s="14"/>
      <c r="E16" s="14"/>
      <c r="F16" s="14"/>
      <c r="G16" s="14"/>
      <c r="H16" s="14"/>
      <c r="I16" s="14"/>
      <c r="J16" s="14"/>
      <c r="K16" s="14"/>
    </row>
    <row r="17" spans="1:14" ht="13.5" customHeight="1">
      <c r="A17" s="16" t="s">
        <v>11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4" ht="13.5" customHeight="1">
      <c r="A18" s="16" t="s">
        <v>61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4" ht="13.5" customHeight="1">
      <c r="A19" s="16" t="s">
        <v>47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4" ht="15" customHeight="1">
      <c r="A20" s="20" t="s">
        <v>12</v>
      </c>
      <c r="B20" s="107" t="s">
        <v>13</v>
      </c>
      <c r="C20" s="110"/>
      <c r="D20" s="110"/>
      <c r="E20" s="110"/>
      <c r="F20" s="107" t="s">
        <v>14</v>
      </c>
      <c r="G20" s="108"/>
      <c r="H20" s="110" t="s">
        <v>15</v>
      </c>
      <c r="I20" s="108"/>
      <c r="J20" s="107" t="s">
        <v>16</v>
      </c>
      <c r="K20" s="108"/>
    </row>
    <row r="21" spans="1:14" ht="15" customHeight="1">
      <c r="A21" s="21" t="s">
        <v>17</v>
      </c>
      <c r="B21" s="22" t="s">
        <v>18</v>
      </c>
      <c r="C21" s="23"/>
      <c r="D21" s="23"/>
      <c r="E21" s="24"/>
      <c r="F21" s="25"/>
      <c r="G21" s="26"/>
      <c r="H21" s="27"/>
      <c r="I21" s="25"/>
      <c r="J21" s="21"/>
      <c r="K21" s="24"/>
      <c r="L21" s="7"/>
      <c r="M21" s="7"/>
    </row>
    <row r="22" spans="1:14" ht="13.5" customHeight="1">
      <c r="A22" s="28">
        <v>1</v>
      </c>
      <c r="B22" s="29" t="s">
        <v>45</v>
      </c>
      <c r="C22" s="30"/>
      <c r="D22" s="30"/>
      <c r="E22" s="31"/>
      <c r="F22" s="30" t="s">
        <v>0</v>
      </c>
      <c r="G22" s="32">
        <v>40000000</v>
      </c>
      <c r="H22" s="33">
        <v>1</v>
      </c>
      <c r="I22" s="16" t="s">
        <v>1</v>
      </c>
      <c r="J22" s="34" t="s">
        <v>0</v>
      </c>
      <c r="K22" s="35">
        <f>G22*H22</f>
        <v>40000000</v>
      </c>
      <c r="L22" s="7"/>
      <c r="M22" s="7"/>
    </row>
    <row r="23" spans="1:14" ht="15" customHeight="1">
      <c r="A23" s="36"/>
      <c r="B23" s="37"/>
      <c r="C23" s="38"/>
      <c r="D23" s="38"/>
      <c r="E23" s="39"/>
      <c r="F23" s="38"/>
      <c r="G23" s="40"/>
      <c r="H23" s="41" t="s">
        <v>19</v>
      </c>
      <c r="I23" s="38"/>
      <c r="J23" s="42" t="s">
        <v>0</v>
      </c>
      <c r="K23" s="43">
        <f>SUM(K22:K22)</f>
        <v>40000000</v>
      </c>
      <c r="N23" s="9"/>
    </row>
    <row r="24" spans="1:14" ht="15" customHeight="1">
      <c r="A24" s="44" t="s">
        <v>20</v>
      </c>
      <c r="B24" s="45" t="s">
        <v>21</v>
      </c>
      <c r="C24" s="16"/>
      <c r="D24" s="16"/>
      <c r="E24" s="46"/>
      <c r="F24" s="16"/>
      <c r="G24" s="32"/>
      <c r="H24" s="47"/>
      <c r="I24" s="46"/>
      <c r="J24" s="16"/>
      <c r="K24" s="32"/>
    </row>
    <row r="25" spans="1:14" ht="13.5" customHeight="1">
      <c r="A25" s="28">
        <v>1</v>
      </c>
      <c r="B25" s="47" t="s">
        <v>7</v>
      </c>
      <c r="C25" s="16"/>
      <c r="D25" s="16"/>
      <c r="E25" s="48"/>
      <c r="F25" s="30" t="s">
        <v>0</v>
      </c>
      <c r="G25" s="32">
        <v>2500000</v>
      </c>
      <c r="H25" s="33">
        <v>1</v>
      </c>
      <c r="I25" s="16" t="s">
        <v>1</v>
      </c>
      <c r="J25" s="34" t="s">
        <v>0</v>
      </c>
      <c r="K25" s="35">
        <f>G25*H25</f>
        <v>2500000</v>
      </c>
    </row>
    <row r="26" spans="1:14" ht="13.5" customHeight="1">
      <c r="A26" s="28">
        <v>2</v>
      </c>
      <c r="B26" s="47" t="s">
        <v>43</v>
      </c>
      <c r="C26" s="16"/>
      <c r="D26" s="16"/>
      <c r="E26" s="48"/>
      <c r="F26" s="30" t="s">
        <v>0</v>
      </c>
      <c r="G26" s="32">
        <v>2500000</v>
      </c>
      <c r="H26" s="33">
        <v>1</v>
      </c>
      <c r="I26" s="16" t="s">
        <v>1</v>
      </c>
      <c r="J26" s="34" t="s">
        <v>0</v>
      </c>
      <c r="K26" s="35">
        <f>G26*H26</f>
        <v>2500000</v>
      </c>
    </row>
    <row r="27" spans="1:14" ht="13.5" customHeight="1">
      <c r="A27" s="49">
        <v>3</v>
      </c>
      <c r="B27" s="16" t="s">
        <v>22</v>
      </c>
      <c r="C27" s="16"/>
      <c r="D27" s="16"/>
      <c r="E27" s="16"/>
      <c r="F27" s="47" t="s">
        <v>0</v>
      </c>
      <c r="G27" s="32">
        <v>500000</v>
      </c>
      <c r="H27" s="33">
        <v>7</v>
      </c>
      <c r="I27" s="46" t="s">
        <v>2</v>
      </c>
      <c r="J27" s="16" t="s">
        <v>0</v>
      </c>
      <c r="K27" s="50">
        <f>G27*H27</f>
        <v>3500000</v>
      </c>
    </row>
    <row r="28" spans="1:14" ht="15" customHeight="1">
      <c r="A28" s="51"/>
      <c r="B28" s="52"/>
      <c r="C28" s="38"/>
      <c r="D28" s="38"/>
      <c r="E28" s="53"/>
      <c r="F28" s="42"/>
      <c r="G28" s="54"/>
      <c r="H28" s="38" t="s">
        <v>23</v>
      </c>
      <c r="I28" s="39"/>
      <c r="J28" s="42" t="s">
        <v>0</v>
      </c>
      <c r="K28" s="43">
        <f>SUM(K25:K27)</f>
        <v>8500000</v>
      </c>
    </row>
    <row r="29" spans="1:14" ht="15" customHeight="1">
      <c r="A29" s="44" t="s">
        <v>24</v>
      </c>
      <c r="B29" s="45" t="s">
        <v>25</v>
      </c>
      <c r="C29" s="16"/>
      <c r="D29" s="16"/>
      <c r="E29" s="46"/>
      <c r="F29" s="47"/>
      <c r="G29" s="32"/>
      <c r="H29" s="55"/>
      <c r="I29" s="16"/>
      <c r="J29" s="47"/>
      <c r="K29" s="32"/>
      <c r="M29" s="7"/>
    </row>
    <row r="30" spans="1:14" ht="13.5" customHeight="1">
      <c r="A30" s="56">
        <v>1</v>
      </c>
      <c r="B30" s="47" t="s">
        <v>44</v>
      </c>
      <c r="C30" s="16"/>
      <c r="D30" s="16"/>
      <c r="E30" s="57"/>
      <c r="F30" s="16" t="s">
        <v>0</v>
      </c>
      <c r="G30" s="32">
        <v>350000</v>
      </c>
      <c r="H30" s="16">
        <v>1</v>
      </c>
      <c r="I30" s="16" t="s">
        <v>4</v>
      </c>
      <c r="J30" s="47" t="s">
        <v>0</v>
      </c>
      <c r="K30" s="58">
        <f t="shared" ref="K30:K32" si="0">G30*H30</f>
        <v>350000</v>
      </c>
    </row>
    <row r="31" spans="1:14" ht="13.5" customHeight="1">
      <c r="A31" s="56">
        <v>2</v>
      </c>
      <c r="B31" s="47" t="s">
        <v>50</v>
      </c>
      <c r="C31" s="16"/>
      <c r="D31" s="16"/>
      <c r="E31" s="57"/>
      <c r="F31" s="16" t="s">
        <v>0</v>
      </c>
      <c r="G31" s="32">
        <v>300000</v>
      </c>
      <c r="H31" s="16">
        <v>1</v>
      </c>
      <c r="I31" s="16" t="s">
        <v>4</v>
      </c>
      <c r="J31" s="47" t="s">
        <v>0</v>
      </c>
      <c r="K31" s="58">
        <f t="shared" si="0"/>
        <v>300000</v>
      </c>
    </row>
    <row r="32" spans="1:14" ht="13.5" customHeight="1">
      <c r="A32" s="56">
        <v>3</v>
      </c>
      <c r="B32" s="47" t="s">
        <v>62</v>
      </c>
      <c r="C32" s="16"/>
      <c r="D32" s="16"/>
      <c r="E32" s="57"/>
      <c r="F32" s="16" t="s">
        <v>0</v>
      </c>
      <c r="G32" s="32">
        <v>150000</v>
      </c>
      <c r="H32" s="16">
        <v>1</v>
      </c>
      <c r="I32" s="16" t="s">
        <v>4</v>
      </c>
      <c r="J32" s="47" t="s">
        <v>0</v>
      </c>
      <c r="K32" s="58">
        <f t="shared" si="0"/>
        <v>150000</v>
      </c>
    </row>
    <row r="33" spans="1:15" ht="15" customHeight="1">
      <c r="A33" s="59"/>
      <c r="B33" s="42"/>
      <c r="C33" s="38"/>
      <c r="D33" s="38"/>
      <c r="E33" s="39"/>
      <c r="F33" s="37"/>
      <c r="G33" s="54"/>
      <c r="H33" s="60" t="s">
        <v>26</v>
      </c>
      <c r="I33" s="39"/>
      <c r="J33" s="42" t="s">
        <v>0</v>
      </c>
      <c r="K33" s="43">
        <f>SUM(K30:K32)</f>
        <v>800000</v>
      </c>
    </row>
    <row r="34" spans="1:15" ht="15" customHeight="1">
      <c r="A34" s="44" t="s">
        <v>27</v>
      </c>
      <c r="B34" s="45" t="s">
        <v>28</v>
      </c>
      <c r="C34" s="16"/>
      <c r="D34" s="16"/>
      <c r="E34" s="46"/>
      <c r="F34" s="16"/>
      <c r="G34" s="32"/>
      <c r="H34" s="55"/>
      <c r="I34" s="16"/>
      <c r="J34" s="45"/>
      <c r="K34" s="61"/>
      <c r="M34" s="10"/>
    </row>
    <row r="35" spans="1:15" ht="13.5" customHeight="1">
      <c r="A35" s="28">
        <v>1</v>
      </c>
      <c r="B35" s="47" t="s">
        <v>51</v>
      </c>
      <c r="C35" s="16"/>
      <c r="D35" s="16"/>
      <c r="E35" s="46"/>
      <c r="F35" s="16" t="s">
        <v>0</v>
      </c>
      <c r="G35" s="32">
        <v>600000</v>
      </c>
      <c r="H35" s="55">
        <v>7</v>
      </c>
      <c r="I35" s="16" t="s">
        <v>3</v>
      </c>
      <c r="J35" s="47" t="s">
        <v>0</v>
      </c>
      <c r="K35" s="62">
        <f>G35*H35</f>
        <v>4200000</v>
      </c>
      <c r="M35" s="10"/>
    </row>
    <row r="36" spans="1:15" ht="13.5" customHeight="1">
      <c r="A36" s="28">
        <v>2</v>
      </c>
      <c r="B36" s="47" t="s">
        <v>52</v>
      </c>
      <c r="C36" s="16"/>
      <c r="D36" s="16"/>
      <c r="E36" s="46"/>
      <c r="F36" s="16" t="s">
        <v>0</v>
      </c>
      <c r="G36" s="32">
        <v>3000000</v>
      </c>
      <c r="H36" s="55">
        <v>1</v>
      </c>
      <c r="I36" s="16" t="s">
        <v>1</v>
      </c>
      <c r="J36" s="47" t="s">
        <v>0</v>
      </c>
      <c r="K36" s="62">
        <f>G36*H36</f>
        <v>3000000</v>
      </c>
      <c r="M36" s="10"/>
    </row>
    <row r="37" spans="1:15" ht="15" customHeight="1">
      <c r="A37" s="59"/>
      <c r="B37" s="52"/>
      <c r="C37" s="38"/>
      <c r="D37" s="38"/>
      <c r="E37" s="39"/>
      <c r="F37" s="42"/>
      <c r="G37" s="54"/>
      <c r="H37" s="60" t="s">
        <v>29</v>
      </c>
      <c r="I37" s="39"/>
      <c r="J37" s="42" t="s">
        <v>0</v>
      </c>
      <c r="K37" s="63">
        <f>SUM(K35:K36)</f>
        <v>7200000</v>
      </c>
      <c r="M37" s="7"/>
    </row>
    <row r="38" spans="1:15" ht="15" customHeight="1">
      <c r="A38" s="44" t="s">
        <v>30</v>
      </c>
      <c r="B38" s="45" t="s">
        <v>31</v>
      </c>
      <c r="C38" s="16"/>
      <c r="D38" s="16"/>
      <c r="E38" s="46"/>
      <c r="F38" s="16"/>
      <c r="G38" s="32"/>
      <c r="H38" s="55"/>
      <c r="I38" s="16"/>
      <c r="J38" s="45"/>
      <c r="K38" s="61"/>
      <c r="M38" s="7"/>
    </row>
    <row r="39" spans="1:15" ht="13.5" customHeight="1">
      <c r="A39" s="28">
        <v>1</v>
      </c>
      <c r="B39" s="64" t="s">
        <v>32</v>
      </c>
      <c r="C39" s="65"/>
      <c r="D39" s="65"/>
      <c r="E39" s="46"/>
      <c r="F39" s="65" t="s">
        <v>0</v>
      </c>
      <c r="G39" s="32">
        <v>3000000</v>
      </c>
      <c r="H39" s="66">
        <v>1</v>
      </c>
      <c r="I39" s="65" t="s">
        <v>1</v>
      </c>
      <c r="J39" s="47" t="s">
        <v>0</v>
      </c>
      <c r="K39" s="32">
        <f>G39*H39</f>
        <v>3000000</v>
      </c>
      <c r="M39" s="7"/>
    </row>
    <row r="40" spans="1:15" ht="13.5" customHeight="1">
      <c r="A40" s="67">
        <v>2</v>
      </c>
      <c r="B40" s="68" t="s">
        <v>33</v>
      </c>
      <c r="C40" s="69"/>
      <c r="D40" s="69">
        <v>7</v>
      </c>
      <c r="E40" s="70" t="s">
        <v>2</v>
      </c>
      <c r="F40" s="69" t="s">
        <v>0</v>
      </c>
      <c r="G40" s="71">
        <v>75000</v>
      </c>
      <c r="H40" s="72">
        <v>8</v>
      </c>
      <c r="I40" s="69" t="s">
        <v>4</v>
      </c>
      <c r="J40" s="68" t="s">
        <v>0</v>
      </c>
      <c r="K40" s="71">
        <f>D40*G40*H40</f>
        <v>4200000</v>
      </c>
      <c r="M40" s="7"/>
    </row>
    <row r="41" spans="1:15" ht="15" customHeight="1">
      <c r="A41" s="28"/>
      <c r="B41" s="47"/>
      <c r="C41" s="16"/>
      <c r="D41" s="16"/>
      <c r="E41" s="46"/>
      <c r="F41" s="16"/>
      <c r="G41" s="32"/>
      <c r="H41" s="55" t="s">
        <v>34</v>
      </c>
      <c r="I41" s="16"/>
      <c r="J41" s="45" t="s">
        <v>0</v>
      </c>
      <c r="K41" s="61">
        <f>SUM(K39:K40)</f>
        <v>7200000</v>
      </c>
      <c r="M41" s="7"/>
    </row>
    <row r="42" spans="1:15" ht="15" customHeight="1">
      <c r="A42" s="44" t="s">
        <v>35</v>
      </c>
      <c r="B42" s="45" t="s">
        <v>36</v>
      </c>
      <c r="C42" s="16"/>
      <c r="D42" s="16"/>
      <c r="E42" s="46"/>
      <c r="F42" s="16"/>
      <c r="G42" s="32"/>
      <c r="H42" s="55"/>
      <c r="I42" s="16"/>
      <c r="J42" s="47"/>
      <c r="K42" s="32"/>
      <c r="M42" s="7"/>
    </row>
    <row r="43" spans="1:15" ht="13.5" customHeight="1">
      <c r="A43" s="101">
        <v>1</v>
      </c>
      <c r="B43" s="47" t="s">
        <v>5</v>
      </c>
      <c r="C43" s="16"/>
      <c r="D43" s="16"/>
      <c r="E43" s="46"/>
      <c r="F43" s="73" t="s">
        <v>0</v>
      </c>
      <c r="G43" s="74">
        <v>1000000</v>
      </c>
      <c r="H43" s="75">
        <v>1</v>
      </c>
      <c r="I43" s="73" t="s">
        <v>1</v>
      </c>
      <c r="J43" s="76" t="s">
        <v>0</v>
      </c>
      <c r="K43" s="74">
        <f>G43*H43</f>
        <v>1000000</v>
      </c>
      <c r="M43" s="7"/>
    </row>
    <row r="44" spans="1:15" ht="13.5" customHeight="1">
      <c r="A44" s="102">
        <v>2</v>
      </c>
      <c r="B44" s="47" t="s">
        <v>48</v>
      </c>
      <c r="C44" s="16"/>
      <c r="D44" s="16"/>
      <c r="E44" s="46"/>
      <c r="F44" s="73" t="s">
        <v>0</v>
      </c>
      <c r="G44" s="74">
        <v>1000000</v>
      </c>
      <c r="H44" s="75">
        <v>1</v>
      </c>
      <c r="I44" s="73" t="s">
        <v>1</v>
      </c>
      <c r="J44" s="76" t="s">
        <v>0</v>
      </c>
      <c r="K44" s="74">
        <f>G44*H44</f>
        <v>1000000</v>
      </c>
      <c r="M44" s="7"/>
    </row>
    <row r="45" spans="1:15" ht="13.5" customHeight="1">
      <c r="A45" s="77"/>
      <c r="B45" s="38"/>
      <c r="C45" s="38"/>
      <c r="D45" s="38"/>
      <c r="E45" s="38"/>
      <c r="F45" s="38"/>
      <c r="G45" s="60"/>
      <c r="H45" s="78" t="s">
        <v>37</v>
      </c>
      <c r="I45" s="79"/>
      <c r="J45" s="80" t="s">
        <v>0</v>
      </c>
      <c r="K45" s="81">
        <f>SUM(K43:K44)</f>
        <v>2000000</v>
      </c>
    </row>
    <row r="46" spans="1:15" ht="13.5" customHeight="1">
      <c r="A46" s="82"/>
      <c r="B46" s="83" t="s">
        <v>39</v>
      </c>
      <c r="C46" s="84"/>
      <c r="D46" s="16"/>
      <c r="E46" s="16"/>
      <c r="F46" s="16"/>
      <c r="G46" s="55"/>
      <c r="H46" s="92" t="s">
        <v>38</v>
      </c>
      <c r="I46" s="38"/>
      <c r="J46" s="42" t="s">
        <v>0</v>
      </c>
      <c r="K46" s="43">
        <f>K23+K28+K33+K37+K41+K45</f>
        <v>65700000</v>
      </c>
    </row>
    <row r="47" spans="1:15" ht="13.5" customHeight="1">
      <c r="A47" s="30" t="s">
        <v>6</v>
      </c>
      <c r="B47" s="16" t="s">
        <v>53</v>
      </c>
      <c r="C47" s="84"/>
      <c r="D47" s="16"/>
      <c r="E47" s="16"/>
      <c r="F47" s="16"/>
      <c r="G47" s="55"/>
      <c r="H47" s="85"/>
      <c r="I47" s="38"/>
      <c r="J47" s="86"/>
      <c r="K47" s="91"/>
    </row>
    <row r="48" spans="1:15" ht="13.5" customHeight="1">
      <c r="A48" s="30" t="s">
        <v>6</v>
      </c>
      <c r="B48" s="16" t="s">
        <v>57</v>
      </c>
      <c r="C48" s="84"/>
      <c r="D48" s="16"/>
      <c r="E48" s="16"/>
      <c r="F48" s="16"/>
      <c r="G48" s="55"/>
      <c r="H48" s="88"/>
      <c r="I48" s="65"/>
      <c r="J48" s="89"/>
      <c r="K48" s="103"/>
      <c r="N48" s="30"/>
      <c r="O48" s="16"/>
    </row>
    <row r="49" spans="1:15" ht="13.5" customHeight="1">
      <c r="A49" s="30" t="s">
        <v>6</v>
      </c>
      <c r="B49" s="16" t="s">
        <v>76</v>
      </c>
      <c r="C49" s="84"/>
      <c r="D49" s="16"/>
      <c r="E49" s="16"/>
      <c r="F49" s="16"/>
      <c r="G49" s="55"/>
      <c r="H49" s="88"/>
      <c r="I49" s="65"/>
      <c r="J49" s="89"/>
      <c r="K49" s="103"/>
      <c r="N49" s="30"/>
      <c r="O49" s="16"/>
    </row>
    <row r="50" spans="1:15" ht="13.5" customHeight="1">
      <c r="A50" s="30" t="s">
        <v>6</v>
      </c>
      <c r="B50" s="16" t="s">
        <v>63</v>
      </c>
      <c r="C50" s="84"/>
      <c r="D50" s="84"/>
      <c r="E50" s="84"/>
      <c r="F50" s="16"/>
      <c r="G50" s="55"/>
      <c r="K50" s="99"/>
      <c r="M50" s="87"/>
      <c r="N50" s="30"/>
      <c r="O50" s="16"/>
    </row>
    <row r="51" spans="1:15" ht="13.5" customHeight="1">
      <c r="A51" s="30" t="s">
        <v>6</v>
      </c>
      <c r="B51" s="16" t="s">
        <v>56</v>
      </c>
      <c r="C51" s="84"/>
      <c r="D51" s="84"/>
      <c r="E51" s="84"/>
      <c r="F51" s="16"/>
      <c r="G51" s="55"/>
      <c r="H51" s="88"/>
      <c r="I51" s="65"/>
      <c r="J51" s="89"/>
      <c r="K51" s="96"/>
      <c r="N51" s="30"/>
      <c r="O51" s="16"/>
    </row>
    <row r="52" spans="1:15" ht="13.5" customHeight="1">
      <c r="A52" s="30" t="s">
        <v>6</v>
      </c>
      <c r="B52" s="16" t="s">
        <v>49</v>
      </c>
      <c r="C52" s="84"/>
      <c r="D52" s="84"/>
      <c r="E52" s="84"/>
      <c r="F52" s="16"/>
      <c r="G52" s="55"/>
      <c r="H52" s="88"/>
      <c r="I52" s="65"/>
      <c r="J52" s="89"/>
      <c r="K52" s="96"/>
      <c r="L52" s="30"/>
      <c r="M52" s="16"/>
      <c r="N52" s="30"/>
      <c r="O52" s="16"/>
    </row>
    <row r="53" spans="1:15" ht="13.5">
      <c r="A53" s="30" t="s">
        <v>6</v>
      </c>
      <c r="B53" s="16" t="s">
        <v>64</v>
      </c>
      <c r="C53" s="16"/>
      <c r="D53" s="84"/>
      <c r="E53" s="84"/>
      <c r="F53" s="16"/>
      <c r="G53" s="55"/>
      <c r="H53" s="16"/>
      <c r="I53" s="16"/>
      <c r="J53" s="16"/>
      <c r="K53" s="98"/>
      <c r="M53" s="30"/>
      <c r="N53" s="30"/>
      <c r="O53" s="16"/>
    </row>
    <row r="54" spans="1:15" ht="13.5" customHeight="1">
      <c r="A54" s="30" t="s">
        <v>6</v>
      </c>
      <c r="B54" s="16" t="s">
        <v>65</v>
      </c>
      <c r="C54" s="16"/>
      <c r="D54" s="84"/>
      <c r="E54" s="84"/>
      <c r="F54" s="16"/>
      <c r="G54" s="55"/>
      <c r="H54" s="16"/>
      <c r="I54" s="16"/>
      <c r="J54" s="16"/>
      <c r="K54" s="19"/>
      <c r="M54" s="30"/>
    </row>
    <row r="55" spans="1:15" ht="13.5" customHeight="1">
      <c r="A55" s="30" t="s">
        <v>6</v>
      </c>
      <c r="B55" s="16" t="s">
        <v>66</v>
      </c>
      <c r="C55" s="16"/>
      <c r="D55" s="16"/>
      <c r="E55" s="16"/>
      <c r="F55" s="16"/>
      <c r="G55" s="16"/>
      <c r="H55" s="14"/>
      <c r="I55" s="14"/>
      <c r="J55" s="14"/>
      <c r="K55" s="19"/>
      <c r="M55" s="30"/>
      <c r="N55" s="30"/>
      <c r="O55" s="16"/>
    </row>
    <row r="56" spans="1:15" ht="13.5" customHeight="1">
      <c r="A56" s="30" t="s">
        <v>6</v>
      </c>
      <c r="B56" s="16" t="s">
        <v>67</v>
      </c>
      <c r="C56" s="16"/>
      <c r="D56" s="16"/>
      <c r="E56" s="16"/>
      <c r="F56" s="16"/>
      <c r="G56" s="16"/>
      <c r="H56" s="14"/>
      <c r="I56" s="14"/>
      <c r="J56" s="14"/>
      <c r="K56" s="19"/>
      <c r="M56" s="30"/>
      <c r="N56" s="30"/>
      <c r="O56" s="16"/>
    </row>
    <row r="57" spans="1:15" ht="13.5" customHeight="1">
      <c r="A57" s="30" t="s">
        <v>6</v>
      </c>
      <c r="B57" s="16" t="s">
        <v>68</v>
      </c>
      <c r="C57" s="16"/>
      <c r="D57" s="16"/>
      <c r="E57" s="16"/>
      <c r="F57" s="16"/>
      <c r="G57" s="16"/>
      <c r="H57" s="14"/>
      <c r="I57" s="14"/>
      <c r="J57" s="14"/>
      <c r="K57" s="97"/>
      <c r="M57" s="30"/>
      <c r="N57" s="30"/>
      <c r="O57" s="16"/>
    </row>
    <row r="58" spans="1:15" ht="13.5">
      <c r="A58" s="30" t="s">
        <v>6</v>
      </c>
      <c r="B58" s="16" t="s">
        <v>69</v>
      </c>
      <c r="C58" s="84"/>
      <c r="D58" s="84"/>
      <c r="E58" s="84"/>
      <c r="F58" s="16"/>
      <c r="G58" s="55"/>
      <c r="H58" s="16"/>
      <c r="I58" s="16"/>
      <c r="J58" s="16"/>
      <c r="K58" s="19"/>
      <c r="M58" s="30"/>
      <c r="N58" s="30"/>
      <c r="O58" s="16"/>
    </row>
    <row r="59" spans="1:15" ht="13.5">
      <c r="A59" s="30" t="s">
        <v>6</v>
      </c>
      <c r="B59" s="16" t="s">
        <v>70</v>
      </c>
      <c r="C59" s="84"/>
      <c r="D59" s="84"/>
      <c r="E59" s="84"/>
      <c r="F59" s="16"/>
      <c r="G59" s="55"/>
      <c r="H59" s="16"/>
      <c r="I59" s="16"/>
      <c r="J59" s="16"/>
      <c r="K59" s="19"/>
      <c r="M59" s="30"/>
      <c r="N59" s="30"/>
      <c r="O59" s="16"/>
    </row>
    <row r="60" spans="1:15" ht="13.5" customHeight="1">
      <c r="A60" s="30" t="s">
        <v>6</v>
      </c>
      <c r="B60" s="16" t="s">
        <v>71</v>
      </c>
      <c r="C60" s="16"/>
      <c r="D60" s="16"/>
      <c r="E60" s="16"/>
      <c r="F60" s="16"/>
      <c r="G60" s="16"/>
      <c r="H60" s="14"/>
      <c r="I60" s="14"/>
      <c r="J60" s="14"/>
      <c r="K60" s="19"/>
      <c r="M60" s="30"/>
      <c r="N60" s="30"/>
      <c r="O60" s="16"/>
    </row>
    <row r="61" spans="1:15" ht="13.5" customHeight="1">
      <c r="A61" s="30" t="s">
        <v>6</v>
      </c>
      <c r="B61" s="16" t="s">
        <v>72</v>
      </c>
      <c r="C61" s="16"/>
      <c r="D61" s="16"/>
      <c r="E61" s="16"/>
      <c r="F61" s="16"/>
      <c r="G61" s="16"/>
      <c r="H61" s="14"/>
      <c r="I61" s="14"/>
      <c r="J61" s="14"/>
      <c r="K61" s="19"/>
      <c r="M61" s="30"/>
      <c r="N61" s="30"/>
      <c r="O61" s="16"/>
    </row>
    <row r="62" spans="1:15" ht="13.5" customHeight="1">
      <c r="A62" s="30" t="s">
        <v>6</v>
      </c>
      <c r="B62" s="16" t="s">
        <v>73</v>
      </c>
      <c r="C62" s="16"/>
      <c r="D62" s="16"/>
      <c r="E62" s="16"/>
      <c r="F62" s="16"/>
      <c r="G62" s="16"/>
      <c r="H62" s="14"/>
      <c r="I62" s="14"/>
      <c r="J62" s="14"/>
      <c r="K62" s="19"/>
      <c r="M62" s="30"/>
      <c r="N62" s="30"/>
      <c r="O62" s="16"/>
    </row>
    <row r="63" spans="1:15" ht="13.5" customHeight="1">
      <c r="A63" s="30" t="s">
        <v>6</v>
      </c>
      <c r="B63" s="16" t="s">
        <v>74</v>
      </c>
      <c r="C63" s="16"/>
      <c r="D63" s="16"/>
      <c r="E63" s="16"/>
      <c r="F63" s="16"/>
      <c r="G63" s="16"/>
      <c r="H63" s="14"/>
      <c r="I63" s="14"/>
      <c r="J63" s="14"/>
      <c r="K63" s="19"/>
      <c r="M63" s="30"/>
      <c r="N63" s="30"/>
      <c r="O63" s="16"/>
    </row>
    <row r="64" spans="1:15" ht="13.5">
      <c r="A64" s="30" t="s">
        <v>6</v>
      </c>
      <c r="B64" s="16" t="s">
        <v>75</v>
      </c>
      <c r="C64" s="84"/>
      <c r="D64" s="84"/>
      <c r="E64" s="84"/>
      <c r="F64" s="16"/>
      <c r="G64" s="55"/>
      <c r="H64" s="16"/>
      <c r="I64" s="16"/>
      <c r="J64" s="16"/>
      <c r="K64" s="19"/>
      <c r="M64" s="12"/>
      <c r="N64" s="30"/>
      <c r="O64" s="16"/>
    </row>
    <row r="65" spans="1:15" ht="9" customHeight="1">
      <c r="A65" s="30"/>
      <c r="B65" s="16"/>
      <c r="C65" s="84"/>
      <c r="D65" s="84"/>
      <c r="E65" s="84"/>
      <c r="F65" s="16"/>
      <c r="G65" s="55"/>
      <c r="H65" s="16"/>
      <c r="I65" s="16"/>
      <c r="J65" s="16"/>
      <c r="K65" s="19"/>
      <c r="N65" s="30"/>
      <c r="O65" s="16"/>
    </row>
    <row r="66" spans="1:15" ht="13.5" customHeight="1">
      <c r="A66" s="16" t="s">
        <v>40</v>
      </c>
      <c r="B66" s="16"/>
      <c r="C66" s="16"/>
      <c r="D66" s="16"/>
      <c r="E66" s="16"/>
      <c r="F66" s="16"/>
      <c r="G66" s="16"/>
      <c r="H66" s="14"/>
      <c r="I66" s="14"/>
      <c r="J66" s="14"/>
      <c r="K66" s="14"/>
      <c r="L66" s="11"/>
      <c r="M66" s="8"/>
      <c r="N66" s="30"/>
      <c r="O66" s="16"/>
    </row>
    <row r="67" spans="1:15" ht="9" customHeight="1">
      <c r="A67" s="30"/>
      <c r="B67" s="16"/>
      <c r="C67" s="16"/>
      <c r="D67" s="16"/>
      <c r="E67" s="16"/>
      <c r="F67" s="16"/>
      <c r="G67" s="16"/>
      <c r="H67" s="14"/>
      <c r="I67" s="14"/>
      <c r="J67" s="14"/>
      <c r="K67" s="14"/>
    </row>
    <row r="68" spans="1:15" ht="13.5" customHeight="1">
      <c r="A68" s="16" t="s">
        <v>79</v>
      </c>
      <c r="B68" s="16"/>
      <c r="C68" s="16"/>
      <c r="D68" s="16"/>
      <c r="E68" s="16"/>
      <c r="F68" s="16"/>
      <c r="G68" s="16"/>
      <c r="H68" s="14"/>
      <c r="I68" s="14"/>
      <c r="J68" s="14"/>
      <c r="K68" s="14"/>
    </row>
    <row r="69" spans="1:15" ht="13.5" customHeight="1">
      <c r="A69" s="16" t="s">
        <v>46</v>
      </c>
      <c r="B69" s="16"/>
      <c r="C69" s="16"/>
      <c r="D69" s="16"/>
      <c r="E69" s="16"/>
      <c r="F69" s="16"/>
      <c r="G69" s="16"/>
      <c r="H69" s="14"/>
      <c r="I69" s="14"/>
      <c r="J69" s="14"/>
      <c r="K69" s="14"/>
    </row>
    <row r="70" spans="1:15" ht="13.5" customHeight="1">
      <c r="A70" s="16"/>
      <c r="B70" s="16"/>
      <c r="C70" s="16"/>
      <c r="D70" s="16"/>
      <c r="E70" s="16"/>
      <c r="F70" s="16"/>
      <c r="G70" s="16"/>
      <c r="H70" s="14"/>
      <c r="I70" s="14"/>
      <c r="J70" s="15"/>
      <c r="K70" s="15"/>
    </row>
    <row r="71" spans="1:15" ht="13.5" customHeight="1">
      <c r="A71" s="16"/>
      <c r="B71" s="16"/>
      <c r="C71" s="16"/>
      <c r="D71" s="16"/>
      <c r="E71" s="16"/>
      <c r="F71" s="16"/>
      <c r="G71" s="16"/>
      <c r="H71" s="14"/>
      <c r="I71" s="14"/>
      <c r="J71" s="19"/>
      <c r="K71" s="19"/>
    </row>
    <row r="72" spans="1:15" ht="13.5" customHeight="1">
      <c r="A72" s="16"/>
      <c r="B72" s="16"/>
      <c r="C72" s="16"/>
      <c r="D72" s="16"/>
      <c r="E72" s="16"/>
      <c r="F72" s="84"/>
      <c r="G72" s="84"/>
      <c r="H72" s="15"/>
      <c r="I72" s="15"/>
      <c r="J72" s="19"/>
      <c r="K72" s="19"/>
    </row>
    <row r="73" spans="1:15" ht="13.5" customHeight="1">
      <c r="A73" s="84"/>
      <c r="B73" s="16"/>
      <c r="C73" s="16"/>
      <c r="D73" s="16"/>
      <c r="E73" s="16"/>
      <c r="F73" s="84"/>
      <c r="G73" s="84"/>
      <c r="H73" s="19"/>
      <c r="I73" s="19"/>
      <c r="J73" s="19"/>
      <c r="K73" s="19"/>
    </row>
    <row r="74" spans="1:15" ht="13.5" customHeight="1">
      <c r="A74" s="90" t="s">
        <v>41</v>
      </c>
      <c r="B74" s="84"/>
      <c r="C74" s="84"/>
      <c r="D74" s="84"/>
      <c r="E74" s="84"/>
      <c r="F74" s="84"/>
      <c r="G74" s="84"/>
      <c r="H74" s="19"/>
      <c r="I74" s="19"/>
      <c r="J74" s="19"/>
      <c r="K74" s="19"/>
    </row>
    <row r="75" spans="1:15">
      <c r="A75" s="19"/>
      <c r="B75" s="84"/>
      <c r="C75" s="84"/>
      <c r="D75" s="84"/>
      <c r="E75" s="84"/>
      <c r="F75" s="84"/>
      <c r="G75" s="84"/>
      <c r="H75" s="19"/>
      <c r="I75" s="19"/>
      <c r="J75" s="19"/>
      <c r="K75" s="19"/>
    </row>
  </sheetData>
  <mergeCells count="6">
    <mergeCell ref="J20:K20"/>
    <mergeCell ref="A7:B7"/>
    <mergeCell ref="A8:B8"/>
    <mergeCell ref="B20:E20"/>
    <mergeCell ref="F20:G20"/>
    <mergeCell ref="H20:I20"/>
  </mergeCells>
  <pageMargins left="0.31496062992126" right="0" top="0.25" bottom="0.25" header="0.31496062992126" footer="0.3149606299212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6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Penawaran Up (24)</vt:lpstr>
      <vt:lpstr>Penawaran Up (23)</vt:lpstr>
      <vt:lpstr>Penawaran Up (22)</vt:lpstr>
    </vt:vector>
  </TitlesOfParts>
  <Company>HWR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rhidayat</dc:creator>
  <cp:lastModifiedBy>Windows User</cp:lastModifiedBy>
  <cp:revision>3</cp:revision>
  <cp:lastPrinted>2025-04-11T09:56:34Z</cp:lastPrinted>
  <dcterms:created xsi:type="dcterms:W3CDTF">2016-01-07T06:34:16Z</dcterms:created>
  <dcterms:modified xsi:type="dcterms:W3CDTF">2025-12-18T06:43:20Z</dcterms:modified>
</cp:coreProperties>
</file>