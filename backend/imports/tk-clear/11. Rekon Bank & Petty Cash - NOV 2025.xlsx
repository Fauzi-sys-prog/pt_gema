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acbook/Downloads/data_pt_gema/"/>
    </mc:Choice>
  </mc:AlternateContent>
  <xr:revisionPtr revIDLastSave="0" documentId="13_ncr:1_{C11A18A1-6474-E44C-A8DA-C33A8C25E7B5}" xr6:coauthVersionLast="47" xr6:coauthVersionMax="47" xr10:uidLastSave="{00000000-0000-0000-0000-000000000000}"/>
  <bookViews>
    <workbookView xWindow="0" yWindow="660" windowWidth="29040" windowHeight="15720" activeTab="2" xr2:uid="{00000000-000D-0000-FFFF-FFFF00000000}"/>
  </bookViews>
  <sheets>
    <sheet name="Rekon Bank" sheetId="4" r:id="rId1"/>
    <sheet name="Petty Cash " sheetId="6" r:id="rId2"/>
    <sheet name="Petty Cash  Gudang" sheetId="7" r:id="rId3"/>
  </sheets>
  <definedNames>
    <definedName name="_xlnm._FilterDatabase" localSheetId="1" hidden="1">'Petty Cash '!$B$1:$B$224</definedName>
    <definedName name="_xlnm._FilterDatabase" localSheetId="2" hidden="1">'Petty Cash  Gudang'!$B$1:$B$234</definedName>
    <definedName name="_xlnm._FilterDatabase" localSheetId="0" hidden="1">'Rekon Bank'!$B$1:$B$73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4" l="1"/>
  <c r="G234" i="7"/>
  <c r="G229" i="7"/>
  <c r="G230" i="7" s="1"/>
  <c r="E208" i="7" l="1"/>
  <c r="E201" i="7"/>
  <c r="G81" i="6"/>
  <c r="G82" i="6"/>
  <c r="G83" i="6" s="1"/>
  <c r="G84" i="6" s="1"/>
  <c r="G85" i="6" s="1"/>
  <c r="G86" i="6" s="1"/>
  <c r="G87" i="6" s="1"/>
  <c r="G88" i="6" s="1"/>
  <c r="G89" i="6" s="1"/>
  <c r="G90" i="6" s="1"/>
  <c r="G91" i="6"/>
  <c r="G92" i="6"/>
  <c r="G93" i="6"/>
  <c r="G94" i="6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H145" i="7" l="1"/>
  <c r="H49" i="7" l="1"/>
  <c r="E115" i="7" l="1"/>
  <c r="F93" i="7"/>
  <c r="E41" i="7"/>
  <c r="F24" i="7"/>
  <c r="F25" i="7"/>
  <c r="E234" i="7" l="1"/>
  <c r="F234" i="7"/>
  <c r="H123" i="7"/>
  <c r="G6" i="6" l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l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6" i="7"/>
  <c r="G46" i="6" l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224" i="6" s="1"/>
  <c r="G7" i="7" l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l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F224" i="6"/>
  <c r="E224" i="6"/>
  <c r="G73" i="7" l="1"/>
  <c r="G74" i="7" s="1"/>
  <c r="G75" i="7" s="1"/>
  <c r="G76" i="7" s="1"/>
  <c r="G77" i="7" s="1"/>
  <c r="G78" i="7" s="1"/>
  <c r="G79" i="7" s="1"/>
  <c r="G80" i="7" s="1"/>
  <c r="G6" i="4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81" i="7" l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18" i="4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l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201" i="7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F73" i="4"/>
  <c r="E73" i="4"/>
</calcChain>
</file>

<file path=xl/sharedStrings.xml><?xml version="1.0" encoding="utf-8"?>
<sst xmlns="http://schemas.openxmlformats.org/spreadsheetml/2006/main" count="1142" uniqueCount="337">
  <si>
    <t>Pindah Buku ke Rek Ibu Sri Rahayu</t>
  </si>
  <si>
    <t>Debit</t>
  </si>
  <si>
    <t>Kredit</t>
  </si>
  <si>
    <t>Saldo</t>
  </si>
  <si>
    <t>Saldo Awal</t>
  </si>
  <si>
    <t>Keterangan</t>
  </si>
  <si>
    <t>Tanggal</t>
  </si>
  <si>
    <t>Akun</t>
  </si>
  <si>
    <t>LAPORAN PETTY CASH</t>
  </si>
  <si>
    <t>61001</t>
  </si>
  <si>
    <t>Beban Pelatihan Karyawan</t>
  </si>
  <si>
    <t>Beban Listrik, air dan Telepon</t>
  </si>
  <si>
    <t>Beban Perbaikan dan Pemeliharaan Mobil Kantor</t>
  </si>
  <si>
    <t>Beban Perbaikan dan Pemeliharaan Peralatan Kantor</t>
  </si>
  <si>
    <t>Beban Alat - alat tulis kantor</t>
  </si>
  <si>
    <t>Beban Transport</t>
  </si>
  <si>
    <t>Beban Kesehatan Karyawan</t>
  </si>
  <si>
    <t>Beban Ketenagakerjaan Karyawan</t>
  </si>
  <si>
    <t>Beban Rumah Tangga Kantor</t>
  </si>
  <si>
    <t>Beban Penyusutan</t>
  </si>
  <si>
    <t>Beban Lain - lain</t>
  </si>
  <si>
    <t>51002</t>
  </si>
  <si>
    <t>Beban Gaji Karyawan Project</t>
  </si>
  <si>
    <t xml:space="preserve">Beban Gaji Karyawan Kantor </t>
  </si>
  <si>
    <t>61010</t>
  </si>
  <si>
    <t>Beban Sumbangan</t>
  </si>
  <si>
    <t>61012</t>
  </si>
  <si>
    <t>51001</t>
  </si>
  <si>
    <t>61003</t>
  </si>
  <si>
    <t>61008</t>
  </si>
  <si>
    <t>61009</t>
  </si>
  <si>
    <t>61007</t>
  </si>
  <si>
    <t>Beban Material Project</t>
  </si>
  <si>
    <t>Beban Overhead Project</t>
  </si>
  <si>
    <t>51003</t>
  </si>
  <si>
    <t>Beban Perjalanan Dinas</t>
  </si>
  <si>
    <t>Beban Perijinan</t>
  </si>
  <si>
    <t>61004</t>
  </si>
  <si>
    <t>Beban Marketing Fee</t>
  </si>
  <si>
    <t>60001</t>
  </si>
  <si>
    <t>61013</t>
  </si>
  <si>
    <t>61014</t>
  </si>
  <si>
    <t>REKONSILIASI BANK</t>
  </si>
  <si>
    <t>Uang Muka Project</t>
  </si>
  <si>
    <t>61002</t>
  </si>
  <si>
    <t>61005</t>
  </si>
  <si>
    <t>61006</t>
  </si>
  <si>
    <t>61011</t>
  </si>
  <si>
    <t>61015</t>
  </si>
  <si>
    <t>Piutang Karyawan</t>
  </si>
  <si>
    <t>12001</t>
  </si>
  <si>
    <t>12002</t>
  </si>
  <si>
    <t>Tarik Tunai ATM</t>
  </si>
  <si>
    <t>LAPORAN PETTY CASH-ENING</t>
  </si>
  <si>
    <t>61016</t>
  </si>
  <si>
    <t>Beban Operational Direksi</t>
  </si>
  <si>
    <t>61017</t>
  </si>
  <si>
    <t>Beban Hutang Pajak</t>
  </si>
  <si>
    <t>Penerimaan dari PT. Daiki Aluminium Industry Indonesia</t>
  </si>
  <si>
    <t>Penerimaan dari PT. Eagle Industry Indonesia</t>
  </si>
  <si>
    <t>Biaya adm trf ke rek bca ening</t>
  </si>
  <si>
    <t>Pembayaran material PT. Caprefindo</t>
  </si>
  <si>
    <t>Pindah Buku dari Rek Ibu Sri Rahayu</t>
  </si>
  <si>
    <t>61018</t>
  </si>
  <si>
    <t>Asset Kendaraan</t>
  </si>
  <si>
    <t>Bayar BPJS kesehatan GMT</t>
  </si>
  <si>
    <t>Bayar BPJS ketenagakerjaan GMT</t>
  </si>
  <si>
    <t>Biaya adm trf ke rek bni aris</t>
  </si>
  <si>
    <t>Kas Indoboiler Pertamina Balikpapan</t>
  </si>
  <si>
    <t>Penerimaan dari PT. Vardhana Inti Pratama</t>
  </si>
  <si>
    <t>Biaya admin</t>
  </si>
  <si>
    <t>Penerimaan dari PT. Cemindo Gemilang</t>
  </si>
  <si>
    <t>Biaya adm trf ke rek bca dopir</t>
  </si>
  <si>
    <t>Biaya adm trf ke rek bca salman</t>
  </si>
  <si>
    <t>Biaya adm trf ke rek bri anwar</t>
  </si>
  <si>
    <t>Biaya adm trf ke rek bca rendy</t>
  </si>
  <si>
    <t>Belanja material as cv. Putra indra boga</t>
  </si>
  <si>
    <t>Kas GMT</t>
  </si>
  <si>
    <t>Saldo Bulan September</t>
  </si>
  <si>
    <t>Beli 2 pack tisu</t>
  </si>
  <si>
    <t>Beli sabun colek</t>
  </si>
  <si>
    <t>Fee salman daiki nakakin dan sinar alum material</t>
  </si>
  <si>
    <t>Beli bensin &amp; tol pick up antar anchor cabot</t>
  </si>
  <si>
    <t>Kirim invoice srp via jne</t>
  </si>
  <si>
    <t>Beli bensin motor tukar faktur daiki</t>
  </si>
  <si>
    <t>Biaya adm trf ke rek bca abdul rohman</t>
  </si>
  <si>
    <t>Beli 20 pcs gerinda poles 7"</t>
  </si>
  <si>
    <t>Beli 20 pcs gerinda poles 4"</t>
  </si>
  <si>
    <t>Belanja material sumber kita</t>
  </si>
  <si>
    <t>Bayar service equipment GMT</t>
  </si>
  <si>
    <t>Kirim invoice indoboiler via jne</t>
  </si>
  <si>
    <t>Beli 8 galon air isi ulang</t>
  </si>
  <si>
    <t>Beli bensin motor mio gmt</t>
  </si>
  <si>
    <t>Parkir mobil</t>
  </si>
  <si>
    <t>Periode November 2025</t>
  </si>
  <si>
    <t>Sisa Kas Bulan Oktober</t>
  </si>
  <si>
    <t>Beli 1 box panel 20x30</t>
  </si>
  <si>
    <t>Beli 1 pcs mcb schneider 3P 25A</t>
  </si>
  <si>
    <t>Beli 1 pcs contactor sneider LC10-18Q7-380V</t>
  </si>
  <si>
    <t>Beli 12m NYYHY jumbo 4x4</t>
  </si>
  <si>
    <t>Beli 1 pack skun ferules 4mm</t>
  </si>
  <si>
    <t>Beli 1 pcs senter aoki</t>
  </si>
  <si>
    <t>Beli 1 pcs stoper besi</t>
  </si>
  <si>
    <t>Beli 2 pcs emergency stop</t>
  </si>
  <si>
    <t>Beli pulsa roaming simpati ening</t>
  </si>
  <si>
    <t>Isi ulang kartu tol ke bandara</t>
  </si>
  <si>
    <t>Beli bensin mobil antar ening ke bandara</t>
  </si>
  <si>
    <t>Bayar sewa mobil ke bandara</t>
  </si>
  <si>
    <t>Beli obat-obatan ening</t>
  </si>
  <si>
    <t>Beli perlengkapan mandi</t>
  </si>
  <si>
    <t>Uang saku ening</t>
  </si>
  <si>
    <t>Kasbon 4 pekerja anwar, aris, suhendar, edi</t>
  </si>
  <si>
    <t>Beli 8 tabung LPG preheating pas dan molicop</t>
  </si>
  <si>
    <t>Beli karung sampah 50x75 qty 3 pcs</t>
  </si>
  <si>
    <t>Tip pasang kitchen set</t>
  </si>
  <si>
    <t>Beli plastik sampah</t>
  </si>
  <si>
    <t>Beli solar L300 antar material pltsa</t>
  </si>
  <si>
    <t>Tip forklip pltsa</t>
  </si>
  <si>
    <t>Tip warehouse pltsa</t>
  </si>
  <si>
    <t>Tip security pltsa</t>
  </si>
  <si>
    <t>Beli makan 3 orang + parkiran</t>
  </si>
  <si>
    <t>Beli grease</t>
  </si>
  <si>
    <t>Uang makan jaga malam preheating pak niin 2 hari</t>
  </si>
  <si>
    <t>Kasbon aris</t>
  </si>
  <si>
    <t>Uang makan aji dkk meeting PT. Farrel</t>
  </si>
  <si>
    <t>Beli bensin &amp; tol pick up antar material ekk</t>
  </si>
  <si>
    <t>Tip security indoporlen</t>
  </si>
  <si>
    <t>Beli 1 pack tisue</t>
  </si>
  <si>
    <t>Bayar servis mesin las 400 MMA</t>
  </si>
  <si>
    <t>Bayar servis mesin las 200 MMA</t>
  </si>
  <si>
    <t>Beli 25 pcs sajadah oleh-oleh umroh</t>
  </si>
  <si>
    <t>Beli 8 pack oleh-oleh umroh lengkap</t>
  </si>
  <si>
    <t>Beli coklat arab ukuran 2 kg</t>
  </si>
  <si>
    <t>Beli 2 kg kacang arab</t>
  </si>
  <si>
    <t>Beli baju ummi</t>
  </si>
  <si>
    <t>Beli baju gamis hitam dan jilbab</t>
  </si>
  <si>
    <t>Uang makan lembur anchor 3 hari</t>
  </si>
  <si>
    <t>Beli 1 dus gerinda potong 14"</t>
  </si>
  <si>
    <t>Beli 25 pcs gerinda potong 14"</t>
  </si>
  <si>
    <t>Beli 3 dus gerinda potong 4"</t>
  </si>
  <si>
    <t>Beli 6 pcs amplas susun</t>
  </si>
  <si>
    <t>Beli bensin mobil jemput ening ke bandara</t>
  </si>
  <si>
    <t>Beli makan 8 orang</t>
  </si>
  <si>
    <t>Beli karung anchor</t>
  </si>
  <si>
    <t>Bayar ongkos kirim karet anchor</t>
  </si>
  <si>
    <t>Uang makan pekerja lembur anchor</t>
  </si>
  <si>
    <t>Beli pcs batu kating</t>
  </si>
  <si>
    <t>Beli 1 pcs thermis</t>
  </si>
  <si>
    <t>Beli 1 pcs terminal kabel</t>
  </si>
  <si>
    <t>Beli 3 pcs pilot lamp</t>
  </si>
  <si>
    <t>Beli 1 pcs kabel perakit</t>
  </si>
  <si>
    <t>Beli 300 pcs ring m4</t>
  </si>
  <si>
    <t>Beli 100 pcs ring m5</t>
  </si>
  <si>
    <t>Beli 100 pcs jp 4x6</t>
  </si>
  <si>
    <t>Beli 100 pcs jp 4x15</t>
  </si>
  <si>
    <t>Beli 100 pcs jp 4x30</t>
  </si>
  <si>
    <t>Beli 100 pcs jp 5x15</t>
  </si>
  <si>
    <t>Beli 2 pcs mata bor dia 3,5</t>
  </si>
  <si>
    <t>Beli 2 pcs mata bor dia 4,5</t>
  </si>
  <si>
    <t>Beli 1 pcs MCB 3X25A Domae Schneider</t>
  </si>
  <si>
    <t>Beli 1 pcs contactor LCID18 M7 Scheneider</t>
  </si>
  <si>
    <t>Beli 1 pcs overload LRD16 (9-13) Scheneider</t>
  </si>
  <si>
    <t>Beli 10 pcs pilot lamp green AD22-22DS FORT</t>
  </si>
  <si>
    <t>Beli 10 pcs pilot lamp RED AD22-22DS FORT</t>
  </si>
  <si>
    <t>Beli 10 pcs pilot lamp yellow AD22-22DS FORT</t>
  </si>
  <si>
    <t>Kirim inv ekk via jne</t>
  </si>
  <si>
    <t>Kirim inv srp via jne</t>
  </si>
  <si>
    <t>Kirim inv vip via jne</t>
  </si>
  <si>
    <t>Kirim inv restu ibu via jne</t>
  </si>
  <si>
    <t>Beli air minum, tisu dan masker ke timas</t>
  </si>
  <si>
    <t>Makan 3 pekerja ke timas</t>
  </si>
  <si>
    <t>Beli isi ulang tol ertiga ke timas</t>
  </si>
  <si>
    <t>Beli bensin ertiga</t>
  </si>
  <si>
    <t>Uang makan lembur 10 pekerja</t>
  </si>
  <si>
    <t>Beli 4 galon aqua</t>
  </si>
  <si>
    <t>Beli 15 liter oli m10 mesin press</t>
  </si>
  <si>
    <t>Bayar iuran sampah gmt</t>
  </si>
  <si>
    <t>Beli 20 kg tawas</t>
  </si>
  <si>
    <t>Beli 1 pcs papan tulis putih</t>
  </si>
  <si>
    <t>Kirim invoice restu ibu via jne</t>
  </si>
  <si>
    <t>Kirim invoice sas via jne</t>
  </si>
  <si>
    <t>Kirim invoice pas via jne</t>
  </si>
  <si>
    <t>Beli licence mw excel gmt</t>
  </si>
  <si>
    <t>Bayar teknisi komputer indra</t>
  </si>
  <si>
    <t>Bayar surat sehat aji dan aris</t>
  </si>
  <si>
    <t>Kirim inv Farel via jne</t>
  </si>
  <si>
    <t>Kirim inv cabot via jne</t>
  </si>
  <si>
    <t>Kirim invoice farel via jne</t>
  </si>
  <si>
    <t>Kirim inv rmp via jne</t>
  </si>
  <si>
    <t>Sisa kas pltsp</t>
  </si>
  <si>
    <t>Fee ade Suhendar daiki</t>
  </si>
  <si>
    <t>Biaya adm trf ke rek bni agus</t>
  </si>
  <si>
    <t>Kas Restu Ibu PLTSP</t>
  </si>
  <si>
    <t>Kas GMT Trf ke rek mandiri angesti</t>
  </si>
  <si>
    <t>Biaya adm trf ke rek bca ahmad zaenuri</t>
  </si>
  <si>
    <t>Bayar pelunasan kitchen set gmt</t>
  </si>
  <si>
    <t>Beli termometer gun</t>
  </si>
  <si>
    <t>Beli batu gerinda anchor rmp</t>
  </si>
  <si>
    <t>Gaji aris project pas</t>
  </si>
  <si>
    <t>Gaji dopir daiki preheat sinar alum</t>
  </si>
  <si>
    <t>Gaji project daiki preheat sinar alum</t>
  </si>
  <si>
    <t>Biaya adm trf ke rek bca reynaldi</t>
  </si>
  <si>
    <t>Bayar pembelian karet anchor</t>
  </si>
  <si>
    <t>Gaji project pltsp,hekikai,pas,dan anchor grup anwar</t>
  </si>
  <si>
    <t>Gaji rendi pltsp</t>
  </si>
  <si>
    <t>Gaji abdul rohman daiki hekikai</t>
  </si>
  <si>
    <t>Beli material tawas</t>
  </si>
  <si>
    <t>Kas survey farrel petrochina jabung</t>
  </si>
  <si>
    <t>Kasbon 5 pekerja</t>
  </si>
  <si>
    <t>Belanja diamond cup</t>
  </si>
  <si>
    <t>Beli 2 galon aqua</t>
  </si>
  <si>
    <t>Biaya adm trf ke rek bca santo</t>
  </si>
  <si>
    <t>Fee santo ekk bulan oktober</t>
  </si>
  <si>
    <t>Fee anchor cabot</t>
  </si>
  <si>
    <t>Kas farel petrochina jabung</t>
  </si>
  <si>
    <t>Belanja legrand mesin mixer jabung</t>
  </si>
  <si>
    <t>Biaya adm trf ke rek bca listijiani</t>
  </si>
  <si>
    <t>Beli 1 unit vibrator UM 28x1680</t>
  </si>
  <si>
    <t>Pembelian electric hoist jabung</t>
  </si>
  <si>
    <t>Beli bensin pick up antar material pas</t>
  </si>
  <si>
    <t>Beli balok kayu</t>
  </si>
  <si>
    <t>Bayar kekurangan pembayaran blanket willich 1 roll</t>
  </si>
  <si>
    <t>Belanja jackhammer listrik di kuat</t>
  </si>
  <si>
    <t>Beli masker 3M Catridge jabung</t>
  </si>
  <si>
    <t>Bayar ongkos potong plat anchor jabung di aurora</t>
  </si>
  <si>
    <t>Beli 1 unit gerobak sorong 13 kg</t>
  </si>
  <si>
    <t>Beli 4 pcs kunci 23</t>
  </si>
  <si>
    <t>Beli 1 pcs kunci 36</t>
  </si>
  <si>
    <t>Beli 4 pcs kunci 15</t>
  </si>
  <si>
    <t>Beli 1 pcs kunci 44</t>
  </si>
  <si>
    <t>Beli 1 pcs kunci 30</t>
  </si>
  <si>
    <t>Beli 500 pcs karung jabung</t>
  </si>
  <si>
    <t>Beli 50 pcs karung</t>
  </si>
  <si>
    <t>Beli 4 pcs terpal ukuran 4x8 jabung</t>
  </si>
  <si>
    <t>Kasbon 3 pekerja confined space</t>
  </si>
  <si>
    <t>Ongkos 3 pekerja confined space</t>
  </si>
  <si>
    <t>Kas meeting fumira</t>
  </si>
  <si>
    <t>Beli bensin &amp; tol pick up antar alat cilacap</t>
  </si>
  <si>
    <t>Biaya adm trf ke rek bca eric santoso</t>
  </si>
  <si>
    <t>Beli 2 roll selang angin gunning</t>
  </si>
  <si>
    <t>Ongkir selang air gunning</t>
  </si>
  <si>
    <t>Beli bensin &amp; tol pick up antar alat daiki</t>
  </si>
  <si>
    <t>Beli 4 unit vibrator UM 28x1680</t>
  </si>
  <si>
    <t>Biaya adm trf ke rek va transferpay</t>
  </si>
  <si>
    <t>Beli 1 unit vacuum cleaner</t>
  </si>
  <si>
    <t>Beli 20 pcs baut 10x60</t>
  </si>
  <si>
    <t>Beli 1 pcs baut 10x120</t>
  </si>
  <si>
    <t>Beli 42 pcs ring m10</t>
  </si>
  <si>
    <t>Beli 3 pcs selongsong 3mm</t>
  </si>
  <si>
    <t>Beli 2 pcs selongsong 4mm</t>
  </si>
  <si>
    <t>Beli 1 pcs panci electric</t>
  </si>
  <si>
    <t>Kirim inv sas via jne</t>
  </si>
  <si>
    <t xml:space="preserve">Beli 5 pcs plug 4x16A </t>
  </si>
  <si>
    <t xml:space="preserve">Beli 5 pcs plug 4x32A </t>
  </si>
  <si>
    <t>Beli 20 pcs scun 6 sc fort</t>
  </si>
  <si>
    <t>Beli 15 pcs scun 50 sc fort</t>
  </si>
  <si>
    <t>Beli 3 pcs isolasi nitto hitam 3/4x25</t>
  </si>
  <si>
    <t>Beli 15 pcs lampu indikator merah, kuning, hijau</t>
  </si>
  <si>
    <t>Beli 10 liter oli epa 90</t>
  </si>
  <si>
    <t>Beli 2 pcs seiv neptune</t>
  </si>
  <si>
    <t>Beli 2 pcs kuas</t>
  </si>
  <si>
    <t>Beli 2 klg impala</t>
  </si>
  <si>
    <t>Beli 10 pcs plug 3x16A</t>
  </si>
  <si>
    <t>Beli 10 pcs socket mobile 3x16A</t>
  </si>
  <si>
    <t>Beli 6 pcs kap sorot led 50w</t>
  </si>
  <si>
    <t>Beli 2 gemuk</t>
  </si>
  <si>
    <t>Beli 4 pcs nepel selang 3/4x3/4</t>
  </si>
  <si>
    <t>Beli 3 pcs double nepel 3/4</t>
  </si>
  <si>
    <t>Beli 3 pcs nepel selang 1/2</t>
  </si>
  <si>
    <t xml:space="preserve">Beli 20 pcs jigsaw makita </t>
  </si>
  <si>
    <t>Beli 2 pcs kunci pipa 14"</t>
  </si>
  <si>
    <t>Beli 3 pcs kuningan N8 1/2x3/2"</t>
  </si>
  <si>
    <t xml:space="preserve">Beli 1 pcs mata pisau serut </t>
  </si>
  <si>
    <t>Beli 3 box wd potong 4"</t>
  </si>
  <si>
    <t>Beli 15 pcs klem pipa 1"</t>
  </si>
  <si>
    <t>Beli 15 pcs klem pipa 1-1/2</t>
  </si>
  <si>
    <t>Beli 25 pcs gerinda poles 4"</t>
  </si>
  <si>
    <t>Beli 10 pcs seal tape</t>
  </si>
  <si>
    <t>Beli 1 pcs led hannoch 45w</t>
  </si>
  <si>
    <t>Beli 10 pcs king nepel 3/4</t>
  </si>
  <si>
    <t>Beli 15 pcs plug 3x16 fort</t>
  </si>
  <si>
    <t>Beli bensin pick up antar material daiki awi</t>
  </si>
  <si>
    <t>Kasbon Niin</t>
  </si>
  <si>
    <t>Bayar bpjs project daiki awi</t>
  </si>
  <si>
    <t>Kasbon mba dewi</t>
  </si>
  <si>
    <t>Beli bensin motor ambil karet anchor ke terminal bekasi</t>
  </si>
  <si>
    <t>Kas daiki AF 60 ton</t>
  </si>
  <si>
    <t>Kas daiki Awi</t>
  </si>
  <si>
    <t>Biaya adm trf ke rek cimb niaga sarana katiga nusantara</t>
  </si>
  <si>
    <t>Trf ke rek cimb niaga sarana katiga nusantara pelatihan confined space</t>
  </si>
  <si>
    <t>Biaya adm trf ke rek bca roy naldi</t>
  </si>
  <si>
    <t>Pembayaran karet anchor ukuran 8 dan 10mm</t>
  </si>
  <si>
    <t>Bayar BPJS project daiki awi</t>
  </si>
  <si>
    <t>Beli batu gerinda anchor srp</t>
  </si>
  <si>
    <t>Biaya adm trf ke rek bri muiz</t>
  </si>
  <si>
    <t>Kas Indoboiler Pertamina Cilacap</t>
  </si>
  <si>
    <t>Uang jalan mba dewi ke BPJS</t>
  </si>
  <si>
    <t>Bayar BPJS project farrel jabung</t>
  </si>
  <si>
    <t>Beli bensin &amp; tol pick up antar silkote</t>
  </si>
  <si>
    <t>Pindah Buku dari sisa kas jabung</t>
  </si>
  <si>
    <t>Gaji aris survey ke petrochina jabung</t>
  </si>
  <si>
    <t>Kirim invoice nioto via jne</t>
  </si>
  <si>
    <t>Beli bensin &amp; tol pick up antar alat indoboiler</t>
  </si>
  <si>
    <t>Beli bensin motor antar board daiki</t>
  </si>
  <si>
    <t>Beli bensin mobil pick up antar material indoporlen</t>
  </si>
  <si>
    <t>Beli 2 btg cnp 100 kaki tinggi</t>
  </si>
  <si>
    <t>Beli 1 dus rd 260 2,6</t>
  </si>
  <si>
    <t>Beli 1 kaleng kanasai 113</t>
  </si>
  <si>
    <t>Beli 15 pcs gerinda poles 7"</t>
  </si>
  <si>
    <t>Beli 15 pcs gerinda poles 4"</t>
  </si>
  <si>
    <t>Beli 5 pcs gerinda poles 7"</t>
  </si>
  <si>
    <t>Beli 5 pcs kaca las</t>
  </si>
  <si>
    <t>Beli 2 pcs obeng roofing</t>
  </si>
  <si>
    <t>Beli 1 kaleng cat junior 66 np 632 drum biru</t>
  </si>
  <si>
    <t>Beli 1 kaleng thiner super</t>
  </si>
  <si>
    <t>Beli 3 liter oli M40</t>
  </si>
  <si>
    <t>Penerimaan dari Ahmad Royani</t>
  </si>
  <si>
    <t>Penerimaan dari PT. Indo Bharat Rayon</t>
  </si>
  <si>
    <t>Pembayaran material CV. Putra Indra Boga</t>
  </si>
  <si>
    <t>Penerimaan dari PT. Cabot Indonesia</t>
  </si>
  <si>
    <t>Pembayaran material PT. Makmur Meta Graha Dinamika</t>
  </si>
  <si>
    <t>Pembayaran material PT. Mega Eka Satya</t>
  </si>
  <si>
    <t>Pembayaran material PT. Indoporlen</t>
  </si>
  <si>
    <t>Penerimaan dari PT. Farrel Pratama</t>
  </si>
  <si>
    <t>Pembayaran material PT. Allied Servis Makmur</t>
  </si>
  <si>
    <t>Penerimaan dari CV. Ramadhan</t>
  </si>
  <si>
    <t>Penerimaan dari PT. Pantarhei Cahaya Indonesia</t>
  </si>
  <si>
    <t>Pembayaran Tour Panorama</t>
  </si>
  <si>
    <t>Penerimaan dari PT. Refractorindo Graha Dinamika</t>
  </si>
  <si>
    <t>Penerimaan dari PT. Tiga Pilar Sejahtera</t>
  </si>
  <si>
    <t>Penerimaan PT. Allied Servis Makmur</t>
  </si>
  <si>
    <t>Pembayaran material PT. Jaya Refractorindo Utama</t>
  </si>
  <si>
    <t>Pembayaran material PT. Willich Isolasi</t>
  </si>
  <si>
    <t>Pembayaran material PT. Shinagawa Refratech Perkasa</t>
  </si>
  <si>
    <t>Penerimaan dari PT. Refratech Mandala Perkasa</t>
  </si>
  <si>
    <t>Bunga</t>
  </si>
  <si>
    <t>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</si>
</sst>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_(* #,##0_);_(* \(#,##0\);_(* &quot;-&quot;??_);_(@_)"/>
    <numFmt numFmtId="168" formatCode="_-* #,##0.00_-;\-* #,##0.00_-;_-* &quot;-&quot;_-;_-@_-"/>
    <numFmt numFmtId="169" formatCode="_(* #,##0.0000_);_(* \(#,##0.00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0" xfId="0" applyNumberFormat="1"/>
    <xf numFmtId="167" fontId="0" fillId="0" borderId="0" xfId="0" applyNumberFormat="1"/>
    <xf numFmtId="164" fontId="0" fillId="0" borderId="0" xfId="2" applyFont="1"/>
    <xf numFmtId="164" fontId="3" fillId="0" borderId="0" xfId="2" applyFont="1"/>
    <xf numFmtId="164" fontId="3" fillId="0" borderId="0" xfId="0" applyNumberFormat="1" applyFont="1"/>
    <xf numFmtId="167" fontId="0" fillId="0" borderId="0" xfId="1" applyNumberFormat="1" applyFont="1"/>
    <xf numFmtId="0" fontId="5" fillId="0" borderId="0" xfId="0" applyFont="1"/>
    <xf numFmtId="0" fontId="7" fillId="0" borderId="1" xfId="0" applyFont="1" applyBorder="1"/>
    <xf numFmtId="0" fontId="7" fillId="0" borderId="1" xfId="0" quotePrefix="1" applyFont="1" applyBorder="1" applyAlignment="1">
      <alignment horizontal="center"/>
    </xf>
    <xf numFmtId="164" fontId="8" fillId="0" borderId="1" xfId="0" applyNumberFormat="1" applyFont="1" applyBorder="1" applyAlignment="1">
      <alignment vertical="center"/>
    </xf>
    <xf numFmtId="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66" fontId="0" fillId="0" borderId="1" xfId="0" quotePrefix="1" applyNumberFormat="1" applyBorder="1" applyAlignment="1">
      <alignment horizontal="center"/>
    </xf>
    <xf numFmtId="0" fontId="0" fillId="0" borderId="1" xfId="0" applyBorder="1"/>
    <xf numFmtId="167" fontId="0" fillId="0" borderId="1" xfId="1" applyNumberFormat="1" applyFont="1" applyBorder="1"/>
    <xf numFmtId="164" fontId="9" fillId="0" borderId="1" xfId="0" applyNumberFormat="1" applyFont="1" applyBorder="1" applyAlignment="1">
      <alignment vertical="center"/>
    </xf>
    <xf numFmtId="164" fontId="0" fillId="0" borderId="1" xfId="2" applyFont="1" applyBorder="1"/>
    <xf numFmtId="16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/>
    <xf numFmtId="164" fontId="2" fillId="2" borderId="1" xfId="2" applyFont="1" applyFill="1" applyBorder="1"/>
    <xf numFmtId="164" fontId="2" fillId="2" borderId="1" xfId="0" applyNumberFormat="1" applyFont="1" applyFill="1" applyBorder="1"/>
    <xf numFmtId="166" fontId="0" fillId="0" borderId="1" xfId="0" applyNumberFormat="1" applyBorder="1" applyAlignment="1">
      <alignment horizontal="center"/>
    </xf>
    <xf numFmtId="168" fontId="9" fillId="0" borderId="1" xfId="0" applyNumberFormat="1" applyFont="1" applyBorder="1" applyAlignment="1">
      <alignment vertical="center"/>
    </xf>
    <xf numFmtId="168" fontId="0" fillId="0" borderId="0" xfId="2" applyNumberFormat="1" applyFont="1"/>
    <xf numFmtId="168" fontId="0" fillId="0" borderId="0" xfId="0" applyNumberFormat="1"/>
    <xf numFmtId="168" fontId="0" fillId="0" borderId="1" xfId="2" applyNumberFormat="1" applyFont="1" applyBorder="1"/>
    <xf numFmtId="43" fontId="0" fillId="0" borderId="1" xfId="1" applyFont="1" applyBorder="1"/>
    <xf numFmtId="43" fontId="9" fillId="0" borderId="1" xfId="0" applyNumberFormat="1" applyFont="1" applyBorder="1" applyAlignment="1">
      <alignment vertical="center"/>
    </xf>
    <xf numFmtId="43" fontId="0" fillId="0" borderId="1" xfId="0" applyNumberFormat="1" applyBorder="1"/>
    <xf numFmtId="43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8" fontId="2" fillId="0" borderId="1" xfId="2" applyNumberFormat="1" applyFont="1" applyBorder="1"/>
    <xf numFmtId="166" fontId="0" fillId="0" borderId="1" xfId="0" applyNumberFormat="1" applyBorder="1" applyAlignment="1">
      <alignment horizontal="left"/>
    </xf>
    <xf numFmtId="168" fontId="9" fillId="0" borderId="1" xfId="1" applyNumberFormat="1" applyFont="1" applyBorder="1" applyAlignment="1">
      <alignment vertical="center"/>
    </xf>
    <xf numFmtId="168" fontId="9" fillId="0" borderId="2" xfId="0" applyNumberFormat="1" applyFont="1" applyBorder="1" applyAlignment="1">
      <alignment vertical="center"/>
    </xf>
    <xf numFmtId="168" fontId="0" fillId="0" borderId="1" xfId="1" applyNumberFormat="1" applyFont="1" applyBorder="1"/>
    <xf numFmtId="168" fontId="2" fillId="2" borderId="1" xfId="2" applyNumberFormat="1" applyFont="1" applyFill="1" applyBorder="1"/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43" fontId="0" fillId="0" borderId="0" xfId="1" applyFont="1"/>
    <xf numFmtId="169" fontId="0" fillId="0" borderId="0" xfId="1" applyNumberFormat="1" applyFont="1"/>
    <xf numFmtId="0" fontId="0" fillId="0" borderId="1" xfId="0" quotePrefix="1" applyBorder="1"/>
    <xf numFmtId="43" fontId="0" fillId="0" borderId="0" xfId="1" quotePrefix="1" applyFont="1" applyBorder="1" applyAlignment="1">
      <alignment horizontal="center"/>
    </xf>
    <xf numFmtId="43" fontId="9" fillId="0" borderId="3" xfId="0" applyNumberFormat="1" applyFont="1" applyBorder="1" applyAlignment="1">
      <alignment vertical="center"/>
    </xf>
    <xf numFmtId="15" fontId="7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vertical="center"/>
    </xf>
    <xf numFmtId="164" fontId="1" fillId="0" borderId="1" xfId="2" applyFont="1" applyBorder="1"/>
    <xf numFmtId="0" fontId="2" fillId="0" borderId="0" xfId="0" applyFont="1" applyBorder="1"/>
    <xf numFmtId="0" fontId="0" fillId="0" borderId="0" xfId="0" applyBorder="1"/>
    <xf numFmtId="0" fontId="0" fillId="0" borderId="4" xfId="0" quotePrefix="1" applyBorder="1" applyAlignment="1">
      <alignment horizontal="center"/>
    </xf>
    <xf numFmtId="0" fontId="0" fillId="0" borderId="4" xfId="0" applyBorder="1"/>
    <xf numFmtId="0" fontId="6" fillId="2" borderId="4" xfId="0" applyFont="1" applyFill="1" applyBorder="1" applyAlignment="1">
      <alignment horizontal="center"/>
    </xf>
    <xf numFmtId="15" fontId="0" fillId="0" borderId="4" xfId="0" applyNumberFormat="1" applyBorder="1" applyAlignment="1">
      <alignment horizontal="center"/>
    </xf>
    <xf numFmtId="164" fontId="0" fillId="0" borderId="4" xfId="2" applyFont="1" applyBorder="1"/>
    <xf numFmtId="168" fontId="0" fillId="0" borderId="4" xfId="2" applyNumberFormat="1" applyFont="1" applyBorder="1"/>
    <xf numFmtId="167" fontId="4" fillId="0" borderId="0" xfId="0" applyNumberFormat="1" applyFont="1" applyBorder="1"/>
    <xf numFmtId="166" fontId="0" fillId="0" borderId="4" xfId="0" quotePrefix="1" applyNumberFormat="1" applyBorder="1" applyAlignment="1">
      <alignment horizontal="center"/>
    </xf>
    <xf numFmtId="43" fontId="0" fillId="0" borderId="4" xfId="0" applyNumberFormat="1" applyBorder="1"/>
    <xf numFmtId="43" fontId="0" fillId="0" borderId="4" xfId="1" applyFont="1" applyBorder="1"/>
    <xf numFmtId="43" fontId="0" fillId="0" borderId="4" xfId="2" applyNumberFormat="1" applyFont="1" applyBorder="1"/>
    <xf numFmtId="166" fontId="0" fillId="0" borderId="4" xfId="0" applyNumberFormat="1" applyBorder="1" applyAlignment="1">
      <alignment horizontal="center"/>
    </xf>
    <xf numFmtId="43" fontId="9" fillId="0" borderId="4" xfId="0" applyNumberFormat="1" applyFont="1" applyBorder="1" applyAlignment="1">
      <alignment vertical="center"/>
    </xf>
    <xf numFmtId="165" fontId="0" fillId="0" borderId="0" xfId="0" applyNumberFormat="1" applyBorder="1"/>
    <xf numFmtId="0" fontId="0" fillId="0" borderId="0" xfId="0" quotePrefix="1" applyBorder="1" applyAlignment="1">
      <alignment horizontal="center"/>
    </xf>
    <xf numFmtId="43" fontId="9" fillId="0" borderId="0" xfId="0" applyNumberFormat="1" applyFont="1" applyBorder="1" applyAlignment="1">
      <alignment vertical="center"/>
    </xf>
    <xf numFmtId="43" fontId="0" fillId="0" borderId="0" xfId="1" applyFont="1" applyBorder="1"/>
    <xf numFmtId="167" fontId="0" fillId="0" borderId="0" xfId="1" applyNumberFormat="1" applyFont="1" applyBorder="1"/>
    <xf numFmtId="16" fontId="0" fillId="0" borderId="4" xfId="0" applyNumberFormat="1" applyBorder="1" applyAlignment="1">
      <alignment horizontal="center"/>
    </xf>
    <xf numFmtId="167" fontId="0" fillId="0" borderId="0" xfId="0" applyNumberFormat="1" applyBorder="1"/>
    <xf numFmtId="164" fontId="0" fillId="0" borderId="0" xfId="0" applyNumberFormat="1" applyBorder="1"/>
    <xf numFmtId="15" fontId="0" fillId="0" borderId="4" xfId="0" applyNumberFormat="1" applyBorder="1"/>
    <xf numFmtId="0" fontId="2" fillId="2" borderId="4" xfId="0" applyFont="1" applyFill="1" applyBorder="1"/>
    <xf numFmtId="43" fontId="2" fillId="2" borderId="4" xfId="2" applyNumberFormat="1" applyFont="1" applyFill="1" applyBorder="1"/>
    <xf numFmtId="43" fontId="2" fillId="2" borderId="4" xfId="0" applyNumberFormat="1" applyFont="1" applyFill="1" applyBorder="1"/>
    <xf numFmtId="164" fontId="0" fillId="0" borderId="0" xfId="2" applyFont="1" applyBorder="1"/>
    <xf numFmtId="0" fontId="3" fillId="0" borderId="0" xfId="0" applyFont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300</xdr:row>
      <xdr:rowOff>0</xdr:rowOff>
    </xdr:from>
    <xdr:to>
      <xdr:col>4</xdr:col>
      <xdr:colOff>295601</xdr:colOff>
      <xdr:row>317</xdr:row>
      <xdr:rowOff>86189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D957D0-647C-40FC-BF61-AD057620F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63084075"/>
          <a:ext cx="2333951" cy="332468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299</xdr:row>
      <xdr:rowOff>152400</xdr:rowOff>
    </xdr:from>
    <xdr:to>
      <xdr:col>6</xdr:col>
      <xdr:colOff>714702</xdr:colOff>
      <xdr:row>317</xdr:row>
      <xdr:rowOff>67142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0D7FA7B-5263-495F-85C1-FD0A1DE14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8475" y="63045975"/>
          <a:ext cx="2343477" cy="3343742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300</xdr:row>
      <xdr:rowOff>0</xdr:rowOff>
    </xdr:from>
    <xdr:to>
      <xdr:col>9</xdr:col>
      <xdr:colOff>267031</xdr:colOff>
      <xdr:row>317</xdr:row>
      <xdr:rowOff>171926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21735BB-E413-41D9-B15D-AB7079CBF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7900" y="63084075"/>
          <a:ext cx="2372056" cy="3410426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300</xdr:row>
      <xdr:rowOff>19050</xdr:rowOff>
    </xdr:from>
    <xdr:to>
      <xdr:col>9</xdr:col>
      <xdr:colOff>2610166</xdr:colOff>
      <xdr:row>317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1F06F1-1B9D-4F7C-8797-75B587ED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15825" y="63103125"/>
          <a:ext cx="2267266" cy="3381375"/>
        </a:xfrm>
        <a:prstGeom prst="rect">
          <a:avLst/>
        </a:prstGeom>
      </xdr:spPr>
    </xdr:pic>
    <xdr:clientData/>
  </xdr:twoCellAnchor>
  <xdr:twoCellAnchor editAs="oneCell">
    <xdr:from>
      <xdr:col>9</xdr:col>
      <xdr:colOff>2847975</xdr:colOff>
      <xdr:row>300</xdr:row>
      <xdr:rowOff>76200</xdr:rowOff>
    </xdr:from>
    <xdr:to>
      <xdr:col>12</xdr:col>
      <xdr:colOff>552768</xdr:colOff>
      <xdr:row>317</xdr:row>
      <xdr:rowOff>171915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2096AC-F629-43A8-9F65-401AA3CF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20900" y="63160275"/>
          <a:ext cx="2276793" cy="333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4"/>
  <sheetViews>
    <sheetView workbookViewId="0">
      <pane ySplit="1500" activePane="bottomLeft"/>
      <selection activeCell="A2" sqref="A2"/>
      <selection pane="bottomLeft" activeCell="G73" sqref="A1:G73"/>
    </sheetView>
  </sheetViews>
  <sheetFormatPr baseColWidth="10" defaultColWidth="8.83203125" defaultRowHeight="15" x14ac:dyDescent="0.2"/>
  <cols>
    <col min="1" max="1" width="10" bestFit="1" customWidth="1"/>
    <col min="2" max="2" width="11.5" customWidth="1"/>
    <col min="3" max="3" width="28.33203125" bestFit="1" customWidth="1"/>
    <col min="4" max="4" width="34.6640625" customWidth="1"/>
    <col min="5" max="5" width="19.1640625" customWidth="1"/>
    <col min="6" max="6" width="16.5" customWidth="1"/>
    <col min="7" max="8" width="16.83203125" bestFit="1" customWidth="1"/>
    <col min="9" max="9" width="14.33203125" bestFit="1" customWidth="1"/>
    <col min="10" max="10" width="13.6640625" bestFit="1" customWidth="1"/>
  </cols>
  <sheetData>
    <row r="1" spans="1:10" x14ac:dyDescent="0.2">
      <c r="A1" s="1" t="s">
        <v>42</v>
      </c>
    </row>
    <row r="2" spans="1:10" x14ac:dyDescent="0.2">
      <c r="A2" s="1" t="s">
        <v>94</v>
      </c>
    </row>
    <row r="3" spans="1:10" x14ac:dyDescent="0.2">
      <c r="A3" s="1"/>
    </row>
    <row r="4" spans="1:10" x14ac:dyDescent="0.2">
      <c r="A4" s="37" t="s">
        <v>6</v>
      </c>
      <c r="B4" s="37" t="s">
        <v>7</v>
      </c>
      <c r="C4" s="37"/>
      <c r="D4" s="37" t="s">
        <v>5</v>
      </c>
      <c r="E4" s="37" t="s">
        <v>1</v>
      </c>
      <c r="F4" s="37" t="s">
        <v>2</v>
      </c>
      <c r="G4" s="37" t="s">
        <v>3</v>
      </c>
    </row>
    <row r="5" spans="1:10" x14ac:dyDescent="0.2">
      <c r="A5" s="38"/>
      <c r="B5" s="18"/>
      <c r="C5" s="18"/>
      <c r="D5" s="18" t="s">
        <v>4</v>
      </c>
      <c r="E5" s="18"/>
      <c r="F5" s="18"/>
      <c r="G5" s="39">
        <v>1677290690.9400001</v>
      </c>
      <c r="H5" s="30"/>
      <c r="I5" s="5"/>
      <c r="J5" s="3"/>
    </row>
    <row r="6" spans="1:10" x14ac:dyDescent="0.2">
      <c r="A6" s="28">
        <v>45965</v>
      </c>
      <c r="B6" s="28"/>
      <c r="C6" s="40"/>
      <c r="D6" s="18" t="s">
        <v>52</v>
      </c>
      <c r="E6" s="43"/>
      <c r="F6" s="29">
        <v>2500000</v>
      </c>
      <c r="G6" s="35">
        <f>G5+E6-F6</f>
        <v>1674790690.9400001</v>
      </c>
      <c r="H6" s="31"/>
      <c r="I6" s="3"/>
    </row>
    <row r="7" spans="1:10" x14ac:dyDescent="0.2">
      <c r="A7" s="28"/>
      <c r="B7" s="17"/>
      <c r="C7" s="40"/>
      <c r="D7" s="18" t="s">
        <v>52</v>
      </c>
      <c r="E7" s="32"/>
      <c r="F7" s="29">
        <v>2500000</v>
      </c>
      <c r="G7" s="35">
        <f>G6+E7-F7</f>
        <v>1672290690.9400001</v>
      </c>
      <c r="H7" s="31"/>
      <c r="I7" s="3"/>
    </row>
    <row r="8" spans="1:10" x14ac:dyDescent="0.2">
      <c r="A8" s="16"/>
      <c r="B8" s="17"/>
      <c r="C8" s="40"/>
      <c r="D8" s="18" t="s">
        <v>52</v>
      </c>
      <c r="E8" s="32"/>
      <c r="F8" s="29">
        <v>2500000</v>
      </c>
      <c r="G8" s="35">
        <f t="shared" ref="G8:G70" si="0">G7+E8-F8</f>
        <v>1669790690.9400001</v>
      </c>
      <c r="I8" s="3"/>
    </row>
    <row r="9" spans="1:10" x14ac:dyDescent="0.2">
      <c r="A9" s="16"/>
      <c r="B9" s="17"/>
      <c r="C9" s="40"/>
      <c r="D9" s="18" t="s">
        <v>52</v>
      </c>
      <c r="E9" s="32"/>
      <c r="F9" s="29">
        <v>1250000</v>
      </c>
      <c r="G9" s="35">
        <f t="shared" si="0"/>
        <v>1668540690.9400001</v>
      </c>
      <c r="I9" s="3"/>
    </row>
    <row r="10" spans="1:10" x14ac:dyDescent="0.2">
      <c r="A10" s="16"/>
      <c r="B10" s="17"/>
      <c r="C10" s="18"/>
      <c r="D10" s="18" t="s">
        <v>52</v>
      </c>
      <c r="E10" s="32"/>
      <c r="F10" s="29">
        <v>1250000</v>
      </c>
      <c r="G10" s="35">
        <f t="shared" si="0"/>
        <v>1667290690.9400001</v>
      </c>
    </row>
    <row r="11" spans="1:10" x14ac:dyDescent="0.2">
      <c r="A11" s="16"/>
      <c r="B11" s="17"/>
      <c r="C11" s="18"/>
      <c r="D11" s="18" t="s">
        <v>69</v>
      </c>
      <c r="E11" s="32">
        <v>35049027</v>
      </c>
      <c r="F11" s="41"/>
      <c r="G11" s="35">
        <f t="shared" si="0"/>
        <v>1702339717.9400001</v>
      </c>
    </row>
    <row r="12" spans="1:10" x14ac:dyDescent="0.2">
      <c r="A12" s="16"/>
      <c r="B12" s="17"/>
      <c r="C12" s="40"/>
      <c r="D12" s="18" t="s">
        <v>70</v>
      </c>
      <c r="E12" s="32"/>
      <c r="F12" s="29">
        <v>10000</v>
      </c>
      <c r="G12" s="35">
        <f t="shared" si="0"/>
        <v>1702329717.9400001</v>
      </c>
    </row>
    <row r="13" spans="1:10" x14ac:dyDescent="0.2">
      <c r="A13" s="16">
        <v>45967</v>
      </c>
      <c r="B13" s="17"/>
      <c r="C13" s="40"/>
      <c r="D13" s="18" t="s">
        <v>316</v>
      </c>
      <c r="E13" s="32">
        <v>513375</v>
      </c>
      <c r="F13" s="29"/>
      <c r="G13" s="35">
        <f t="shared" si="0"/>
        <v>1702843092.9400001</v>
      </c>
      <c r="H13" s="5"/>
    </row>
    <row r="14" spans="1:10" x14ac:dyDescent="0.2">
      <c r="A14" s="16"/>
      <c r="B14" s="17"/>
      <c r="C14" s="40"/>
      <c r="D14" s="18" t="s">
        <v>317</v>
      </c>
      <c r="E14" s="32">
        <v>9199125</v>
      </c>
      <c r="F14" s="29"/>
      <c r="G14" s="35">
        <f t="shared" si="0"/>
        <v>1712042217.9400001</v>
      </c>
    </row>
    <row r="15" spans="1:10" x14ac:dyDescent="0.2">
      <c r="A15" s="16">
        <v>45969</v>
      </c>
      <c r="B15" s="17"/>
      <c r="C15" s="40"/>
      <c r="D15" s="18" t="s">
        <v>318</v>
      </c>
      <c r="E15" s="32"/>
      <c r="F15" s="29">
        <v>358141500</v>
      </c>
      <c r="G15" s="35">
        <f>G14+E15-F15</f>
        <v>1353900717.9400001</v>
      </c>
    </row>
    <row r="16" spans="1:10" x14ac:dyDescent="0.2">
      <c r="A16" s="16">
        <v>45972</v>
      </c>
      <c r="B16" s="17"/>
      <c r="C16" s="40"/>
      <c r="D16" s="18" t="s">
        <v>318</v>
      </c>
      <c r="E16" s="32"/>
      <c r="F16" s="29">
        <v>108780000</v>
      </c>
      <c r="G16" s="35">
        <f t="shared" si="0"/>
        <v>1245120717.9400001</v>
      </c>
    </row>
    <row r="17" spans="1:7" x14ac:dyDescent="0.2">
      <c r="A17" s="16">
        <v>45975</v>
      </c>
      <c r="B17" s="17"/>
      <c r="C17" s="40"/>
      <c r="D17" s="18" t="s">
        <v>59</v>
      </c>
      <c r="E17" s="32">
        <v>32953125</v>
      </c>
      <c r="F17" s="29"/>
      <c r="G17" s="35">
        <f t="shared" si="0"/>
        <v>1278073842.9400001</v>
      </c>
    </row>
    <row r="18" spans="1:7" x14ac:dyDescent="0.2">
      <c r="A18" s="16"/>
      <c r="B18" s="17"/>
      <c r="C18" s="40"/>
      <c r="D18" s="18" t="s">
        <v>58</v>
      </c>
      <c r="E18" s="32">
        <v>813777000</v>
      </c>
      <c r="F18" s="42"/>
      <c r="G18" s="35">
        <f t="shared" si="0"/>
        <v>2091850842.9400001</v>
      </c>
    </row>
    <row r="19" spans="1:7" x14ac:dyDescent="0.2">
      <c r="A19" s="16"/>
      <c r="B19" s="17"/>
      <c r="C19" s="40"/>
      <c r="D19" s="18" t="s">
        <v>319</v>
      </c>
      <c r="E19" s="43">
        <v>55044000</v>
      </c>
      <c r="F19" s="29"/>
      <c r="G19" s="35">
        <f t="shared" si="0"/>
        <v>2146894842.9400001</v>
      </c>
    </row>
    <row r="20" spans="1:7" x14ac:dyDescent="0.2">
      <c r="A20" s="16">
        <v>45976</v>
      </c>
      <c r="B20" s="17"/>
      <c r="C20" s="40"/>
      <c r="D20" s="18" t="s">
        <v>52</v>
      </c>
      <c r="E20" s="32"/>
      <c r="F20" s="29">
        <v>2500000</v>
      </c>
      <c r="G20" s="35">
        <f t="shared" si="0"/>
        <v>2144394842.9400001</v>
      </c>
    </row>
    <row r="21" spans="1:7" x14ac:dyDescent="0.2">
      <c r="A21" s="16"/>
      <c r="B21" s="23"/>
      <c r="C21" s="40"/>
      <c r="D21" s="18" t="s">
        <v>52</v>
      </c>
      <c r="E21" s="32"/>
      <c r="F21" s="29">
        <v>2500000</v>
      </c>
      <c r="G21" s="35">
        <f t="shared" si="0"/>
        <v>2141894842.9400001</v>
      </c>
    </row>
    <row r="22" spans="1:7" x14ac:dyDescent="0.2">
      <c r="A22" s="16"/>
      <c r="B22" s="23"/>
      <c r="C22" s="40"/>
      <c r="D22" s="18" t="s">
        <v>52</v>
      </c>
      <c r="E22" s="32"/>
      <c r="F22" s="29">
        <v>2500000</v>
      </c>
      <c r="G22" s="35">
        <f t="shared" si="0"/>
        <v>2139394842.9400001</v>
      </c>
    </row>
    <row r="23" spans="1:7" x14ac:dyDescent="0.2">
      <c r="A23" s="16"/>
      <c r="B23" s="23"/>
      <c r="C23" s="40"/>
      <c r="D23" s="18" t="s">
        <v>52</v>
      </c>
      <c r="E23" s="32"/>
      <c r="F23" s="29">
        <v>1250000</v>
      </c>
      <c r="G23" s="35">
        <f t="shared" si="0"/>
        <v>2138144842.9400001</v>
      </c>
    </row>
    <row r="24" spans="1:7" x14ac:dyDescent="0.2">
      <c r="A24" s="16"/>
      <c r="B24" s="23"/>
      <c r="C24" s="40"/>
      <c r="D24" s="18" t="s">
        <v>52</v>
      </c>
      <c r="E24" s="32"/>
      <c r="F24" s="29">
        <v>1250000</v>
      </c>
      <c r="G24" s="35">
        <f t="shared" si="0"/>
        <v>2136894842.9400001</v>
      </c>
    </row>
    <row r="25" spans="1:7" x14ac:dyDescent="0.2">
      <c r="A25" s="16">
        <v>45978</v>
      </c>
      <c r="B25" s="23"/>
      <c r="C25" s="40"/>
      <c r="D25" s="18" t="s">
        <v>61</v>
      </c>
      <c r="E25" s="32"/>
      <c r="F25" s="29">
        <v>10156500</v>
      </c>
      <c r="G25" s="35">
        <f t="shared" si="0"/>
        <v>2126738342.9400001</v>
      </c>
    </row>
    <row r="26" spans="1:7" x14ac:dyDescent="0.2">
      <c r="A26" s="16"/>
      <c r="B26" s="23"/>
      <c r="C26" s="40"/>
      <c r="D26" s="18" t="s">
        <v>320</v>
      </c>
      <c r="E26" s="32"/>
      <c r="F26" s="29">
        <v>410422500</v>
      </c>
      <c r="G26" s="35">
        <f t="shared" si="0"/>
        <v>1716315842.9400001</v>
      </c>
    </row>
    <row r="27" spans="1:7" x14ac:dyDescent="0.2">
      <c r="A27" s="16"/>
      <c r="B27" s="17"/>
      <c r="C27" s="40"/>
      <c r="D27" s="18" t="s">
        <v>70</v>
      </c>
      <c r="E27" s="32"/>
      <c r="F27" s="29">
        <v>2500</v>
      </c>
      <c r="G27" s="35">
        <f t="shared" si="0"/>
        <v>1716313342.9400001</v>
      </c>
    </row>
    <row r="28" spans="1:7" x14ac:dyDescent="0.2">
      <c r="A28" s="16"/>
      <c r="B28" s="23"/>
      <c r="C28" s="18"/>
      <c r="D28" s="18" t="s">
        <v>321</v>
      </c>
      <c r="E28" s="32"/>
      <c r="F28" s="29">
        <v>18841764</v>
      </c>
      <c r="G28" s="35">
        <f t="shared" si="0"/>
        <v>1697471578.9400001</v>
      </c>
    </row>
    <row r="29" spans="1:7" x14ac:dyDescent="0.2">
      <c r="A29" s="16"/>
      <c r="B29" s="23"/>
      <c r="C29" s="18"/>
      <c r="D29" s="18" t="s">
        <v>322</v>
      </c>
      <c r="E29" s="32"/>
      <c r="F29" s="29">
        <v>17316000</v>
      </c>
      <c r="G29" s="35">
        <f t="shared" si="0"/>
        <v>1680155578.9400001</v>
      </c>
    </row>
    <row r="30" spans="1:7" x14ac:dyDescent="0.2">
      <c r="A30" s="16"/>
      <c r="B30" s="23"/>
      <c r="C30" s="18"/>
      <c r="D30" s="18" t="s">
        <v>70</v>
      </c>
      <c r="E30" s="32"/>
      <c r="F30" s="29">
        <v>2500</v>
      </c>
      <c r="G30" s="35">
        <f t="shared" si="0"/>
        <v>1680153078.9400001</v>
      </c>
    </row>
    <row r="31" spans="1:7" x14ac:dyDescent="0.2">
      <c r="A31" s="16"/>
      <c r="B31" s="23"/>
      <c r="C31" s="18"/>
      <c r="D31" s="18" t="s">
        <v>0</v>
      </c>
      <c r="E31" s="32"/>
      <c r="F31" s="29">
        <v>50000000</v>
      </c>
      <c r="G31" s="35">
        <f t="shared" si="0"/>
        <v>1630153078.9400001</v>
      </c>
    </row>
    <row r="32" spans="1:7" x14ac:dyDescent="0.2">
      <c r="A32" s="16"/>
      <c r="B32" s="23"/>
      <c r="C32" s="18"/>
      <c r="D32" s="18" t="s">
        <v>0</v>
      </c>
      <c r="E32" s="32"/>
      <c r="F32" s="29">
        <v>50000000</v>
      </c>
      <c r="G32" s="35">
        <f t="shared" si="0"/>
        <v>1580153078.9400001</v>
      </c>
    </row>
    <row r="33" spans="1:7" x14ac:dyDescent="0.2">
      <c r="A33" s="16"/>
      <c r="B33" s="23"/>
      <c r="C33" s="18"/>
      <c r="D33" s="18" t="s">
        <v>0</v>
      </c>
      <c r="E33" s="32"/>
      <c r="F33" s="29">
        <v>50000000</v>
      </c>
      <c r="G33" s="35">
        <f t="shared" si="0"/>
        <v>1530153078.9400001</v>
      </c>
    </row>
    <row r="34" spans="1:7" x14ac:dyDescent="0.2">
      <c r="A34" s="16"/>
      <c r="B34" s="23"/>
      <c r="C34" s="18"/>
      <c r="D34" s="18" t="s">
        <v>0</v>
      </c>
      <c r="E34" s="32"/>
      <c r="F34" s="29">
        <v>50000000</v>
      </c>
      <c r="G34" s="35">
        <f t="shared" si="0"/>
        <v>1480153078.9400001</v>
      </c>
    </row>
    <row r="35" spans="1:7" x14ac:dyDescent="0.2">
      <c r="A35" s="16"/>
      <c r="B35" s="23"/>
      <c r="C35" s="18"/>
      <c r="D35" s="18" t="s">
        <v>69</v>
      </c>
      <c r="E35" s="32">
        <v>27533827</v>
      </c>
      <c r="F35" s="29"/>
      <c r="G35" s="35">
        <f t="shared" si="0"/>
        <v>1507686905.9400001</v>
      </c>
    </row>
    <row r="36" spans="1:7" x14ac:dyDescent="0.2">
      <c r="A36" s="16">
        <v>45980</v>
      </c>
      <c r="B36" s="23"/>
      <c r="C36" s="18"/>
      <c r="D36" s="18" t="s">
        <v>323</v>
      </c>
      <c r="E36" s="32">
        <v>969100150</v>
      </c>
      <c r="F36" s="29"/>
      <c r="G36" s="35">
        <f t="shared" si="0"/>
        <v>2476787055.9400001</v>
      </c>
    </row>
    <row r="37" spans="1:7" x14ac:dyDescent="0.2">
      <c r="A37" s="16"/>
      <c r="B37" s="23"/>
      <c r="C37" s="18"/>
      <c r="D37" s="18" t="s">
        <v>70</v>
      </c>
      <c r="E37" s="32"/>
      <c r="F37" s="29">
        <v>60000</v>
      </c>
      <c r="G37" s="35">
        <f>G36+E37-F37</f>
        <v>2476727055.9400001</v>
      </c>
    </row>
    <row r="38" spans="1:7" x14ac:dyDescent="0.2">
      <c r="A38" s="16"/>
      <c r="B38" s="23"/>
      <c r="C38" s="18"/>
      <c r="D38" s="18" t="s">
        <v>70</v>
      </c>
      <c r="E38" s="32"/>
      <c r="F38" s="29">
        <v>6500</v>
      </c>
      <c r="G38" s="35">
        <f t="shared" si="0"/>
        <v>2476720555.9400001</v>
      </c>
    </row>
    <row r="39" spans="1:7" x14ac:dyDescent="0.2">
      <c r="A39" s="16"/>
      <c r="B39" s="23"/>
      <c r="C39" s="18"/>
      <c r="D39" s="18" t="s">
        <v>0</v>
      </c>
      <c r="E39" s="32"/>
      <c r="F39" s="29">
        <v>200000000</v>
      </c>
      <c r="G39" s="35">
        <f t="shared" si="0"/>
        <v>2276720555.9400001</v>
      </c>
    </row>
    <row r="40" spans="1:7" x14ac:dyDescent="0.2">
      <c r="A40" s="16">
        <v>45982</v>
      </c>
      <c r="B40" s="23"/>
      <c r="C40" s="18"/>
      <c r="D40" s="18" t="s">
        <v>71</v>
      </c>
      <c r="E40" s="32">
        <v>89832555</v>
      </c>
      <c r="F40" s="29"/>
      <c r="G40" s="35">
        <f t="shared" si="0"/>
        <v>2366553110.9400001</v>
      </c>
    </row>
    <row r="41" spans="1:7" x14ac:dyDescent="0.2">
      <c r="A41" s="16">
        <v>45984</v>
      </c>
      <c r="B41" s="23"/>
      <c r="C41" s="18"/>
      <c r="D41" s="18" t="s">
        <v>330</v>
      </c>
      <c r="E41" s="29">
        <v>41499737</v>
      </c>
      <c r="F41" s="29"/>
      <c r="G41" s="35">
        <f t="shared" si="0"/>
        <v>2408052847.9400001</v>
      </c>
    </row>
    <row r="42" spans="1:7" x14ac:dyDescent="0.2">
      <c r="A42" s="16">
        <v>45985</v>
      </c>
      <c r="B42" s="23"/>
      <c r="C42" s="18"/>
      <c r="D42" s="18" t="s">
        <v>0</v>
      </c>
      <c r="E42" s="32"/>
      <c r="F42" s="29">
        <v>200000000</v>
      </c>
      <c r="G42" s="35">
        <f t="shared" si="0"/>
        <v>2208052847.9400001</v>
      </c>
    </row>
    <row r="43" spans="1:7" x14ac:dyDescent="0.2">
      <c r="A43" s="16">
        <v>45986</v>
      </c>
      <c r="B43" s="23"/>
      <c r="C43" s="18"/>
      <c r="D43" s="18" t="s">
        <v>325</v>
      </c>
      <c r="E43" s="32">
        <v>120871094</v>
      </c>
      <c r="F43" s="29"/>
      <c r="G43" s="35">
        <f t="shared" si="0"/>
        <v>2328923941.9400001</v>
      </c>
    </row>
    <row r="44" spans="1:7" x14ac:dyDescent="0.2">
      <c r="A44" s="16"/>
      <c r="B44" s="23"/>
      <c r="C44" s="18"/>
      <c r="D44" s="18" t="s">
        <v>326</v>
      </c>
      <c r="E44" s="32">
        <v>195304500</v>
      </c>
      <c r="F44" s="29"/>
      <c r="G44" s="35">
        <f t="shared" si="0"/>
        <v>2524228441.9400001</v>
      </c>
    </row>
    <row r="45" spans="1:7" x14ac:dyDescent="0.2">
      <c r="A45" s="16"/>
      <c r="B45" s="23"/>
      <c r="C45" s="18"/>
      <c r="D45" s="18" t="s">
        <v>327</v>
      </c>
      <c r="E45" s="32"/>
      <c r="F45" s="29">
        <v>200000000</v>
      </c>
      <c r="G45" s="35">
        <f t="shared" si="0"/>
        <v>2324228441.9400001</v>
      </c>
    </row>
    <row r="46" spans="1:7" x14ac:dyDescent="0.2">
      <c r="A46" s="16">
        <v>45987</v>
      </c>
      <c r="B46" s="23"/>
      <c r="C46" s="18"/>
      <c r="D46" s="18" t="s">
        <v>328</v>
      </c>
      <c r="E46" s="32">
        <v>6882000</v>
      </c>
      <c r="F46" s="29"/>
      <c r="G46" s="35">
        <f t="shared" si="0"/>
        <v>2331110441.9400001</v>
      </c>
    </row>
    <row r="47" spans="1:7" x14ac:dyDescent="0.2">
      <c r="A47" s="16">
        <v>45988</v>
      </c>
      <c r="B47" s="23"/>
      <c r="C47" s="18"/>
      <c r="D47" s="18" t="s">
        <v>0</v>
      </c>
      <c r="E47" s="32"/>
      <c r="F47" s="29">
        <v>50000000</v>
      </c>
      <c r="G47" s="35">
        <f t="shared" si="0"/>
        <v>2281110441.9400001</v>
      </c>
    </row>
    <row r="48" spans="1:7" x14ac:dyDescent="0.2">
      <c r="A48" s="16"/>
      <c r="B48" s="23"/>
      <c r="C48" s="18"/>
      <c r="D48" s="18" t="s">
        <v>0</v>
      </c>
      <c r="E48" s="32"/>
      <c r="F48" s="29">
        <v>50000000</v>
      </c>
      <c r="G48" s="35">
        <f t="shared" si="0"/>
        <v>2231110441.9400001</v>
      </c>
    </row>
    <row r="49" spans="1:7" x14ac:dyDescent="0.2">
      <c r="A49" s="16"/>
      <c r="B49" s="23"/>
      <c r="C49" s="18"/>
      <c r="D49" s="18" t="s">
        <v>0</v>
      </c>
      <c r="E49" s="32"/>
      <c r="F49" s="29">
        <v>50000000</v>
      </c>
      <c r="G49" s="35">
        <f t="shared" si="0"/>
        <v>2181110441.9400001</v>
      </c>
    </row>
    <row r="50" spans="1:7" x14ac:dyDescent="0.2">
      <c r="A50" s="16"/>
      <c r="B50" s="23"/>
      <c r="C50" s="18"/>
      <c r="D50" s="18" t="s">
        <v>0</v>
      </c>
      <c r="E50" s="32"/>
      <c r="F50" s="29">
        <v>50000000</v>
      </c>
      <c r="G50" s="35">
        <f t="shared" si="0"/>
        <v>2131110441.9400001</v>
      </c>
    </row>
    <row r="51" spans="1:7" x14ac:dyDescent="0.2">
      <c r="A51" s="16"/>
      <c r="B51" s="23"/>
      <c r="C51" s="18"/>
      <c r="D51" s="18" t="s">
        <v>323</v>
      </c>
      <c r="E51" s="32">
        <v>969100150</v>
      </c>
      <c r="F51" s="29"/>
      <c r="G51" s="35">
        <f t="shared" si="0"/>
        <v>3100210591.9400001</v>
      </c>
    </row>
    <row r="52" spans="1:7" x14ac:dyDescent="0.2">
      <c r="A52" s="16"/>
      <c r="B52" s="23"/>
      <c r="C52" s="18"/>
      <c r="D52" s="18" t="s">
        <v>329</v>
      </c>
      <c r="E52" s="32">
        <v>13528125</v>
      </c>
      <c r="F52" s="29"/>
      <c r="G52" s="35">
        <f t="shared" si="0"/>
        <v>3113738716.9400001</v>
      </c>
    </row>
    <row r="53" spans="1:7" x14ac:dyDescent="0.2">
      <c r="A53" s="16">
        <v>45989</v>
      </c>
      <c r="B53" s="23"/>
      <c r="C53" s="18"/>
      <c r="D53" s="18" t="s">
        <v>58</v>
      </c>
      <c r="E53" s="32">
        <v>82402875</v>
      </c>
      <c r="F53" s="29"/>
      <c r="G53" s="35">
        <f t="shared" si="0"/>
        <v>3196141591.9400001</v>
      </c>
    </row>
    <row r="54" spans="1:7" x14ac:dyDescent="0.2">
      <c r="A54" s="16"/>
      <c r="B54" s="23"/>
      <c r="C54" s="18"/>
      <c r="D54" s="18" t="s">
        <v>324</v>
      </c>
      <c r="E54" s="32"/>
      <c r="F54" s="29">
        <v>33194550</v>
      </c>
      <c r="G54" s="35">
        <f t="shared" si="0"/>
        <v>3162947041.9400001</v>
      </c>
    </row>
    <row r="55" spans="1:7" x14ac:dyDescent="0.2">
      <c r="A55" s="16"/>
      <c r="B55" s="23"/>
      <c r="C55" s="18"/>
      <c r="D55" s="18" t="s">
        <v>331</v>
      </c>
      <c r="E55" s="32"/>
      <c r="F55" s="29">
        <v>141802500</v>
      </c>
      <c r="G55" s="35">
        <f t="shared" si="0"/>
        <v>3021144541.9400001</v>
      </c>
    </row>
    <row r="56" spans="1:7" x14ac:dyDescent="0.2">
      <c r="A56" s="16"/>
      <c r="B56" s="23"/>
      <c r="C56" s="18"/>
      <c r="D56" s="18" t="s">
        <v>70</v>
      </c>
      <c r="E56" s="32"/>
      <c r="F56" s="29">
        <v>2500</v>
      </c>
      <c r="G56" s="35">
        <f t="shared" si="0"/>
        <v>3021142041.9400001</v>
      </c>
    </row>
    <row r="57" spans="1:7" x14ac:dyDescent="0.2">
      <c r="A57" s="16"/>
      <c r="B57" s="23"/>
      <c r="C57" s="18"/>
      <c r="D57" s="18" t="s">
        <v>332</v>
      </c>
      <c r="E57" s="32"/>
      <c r="F57" s="29">
        <v>18870000</v>
      </c>
      <c r="G57" s="35">
        <f t="shared" si="0"/>
        <v>3002272041.9400001</v>
      </c>
    </row>
    <row r="58" spans="1:7" x14ac:dyDescent="0.2">
      <c r="A58" s="16"/>
      <c r="B58" s="23"/>
      <c r="C58" s="18"/>
      <c r="D58" s="18" t="s">
        <v>322</v>
      </c>
      <c r="E58" s="32"/>
      <c r="F58" s="29">
        <v>172451333</v>
      </c>
      <c r="G58" s="35">
        <f t="shared" si="0"/>
        <v>2829820708.9400001</v>
      </c>
    </row>
    <row r="59" spans="1:7" x14ac:dyDescent="0.2">
      <c r="A59" s="16"/>
      <c r="B59" s="23"/>
      <c r="C59" s="18"/>
      <c r="D59" s="18" t="s">
        <v>70</v>
      </c>
      <c r="E59" s="32"/>
      <c r="F59" s="29">
        <v>2500</v>
      </c>
      <c r="G59" s="35">
        <f t="shared" si="0"/>
        <v>2829818208.9400001</v>
      </c>
    </row>
    <row r="60" spans="1:7" x14ac:dyDescent="0.2">
      <c r="A60" s="16"/>
      <c r="B60" s="23"/>
      <c r="C60" s="18"/>
      <c r="D60" s="18" t="s">
        <v>333</v>
      </c>
      <c r="E60" s="32"/>
      <c r="F60" s="29">
        <v>68029125</v>
      </c>
      <c r="G60" s="35">
        <f t="shared" si="0"/>
        <v>2761789083.9400001</v>
      </c>
    </row>
    <row r="61" spans="1:7" x14ac:dyDescent="0.2">
      <c r="A61" s="16"/>
      <c r="B61" s="23"/>
      <c r="C61" s="18"/>
      <c r="D61" s="18" t="s">
        <v>70</v>
      </c>
      <c r="E61" s="32"/>
      <c r="F61" s="29">
        <v>2500</v>
      </c>
      <c r="G61" s="35">
        <f t="shared" si="0"/>
        <v>2761786583.9400001</v>
      </c>
    </row>
    <row r="62" spans="1:7" x14ac:dyDescent="0.2">
      <c r="A62" s="16"/>
      <c r="B62" s="23"/>
      <c r="C62" s="18"/>
      <c r="D62" s="18" t="s">
        <v>61</v>
      </c>
      <c r="E62" s="32"/>
      <c r="F62" s="29">
        <v>38766750</v>
      </c>
      <c r="G62" s="35">
        <f t="shared" si="0"/>
        <v>2723019833.9400001</v>
      </c>
    </row>
    <row r="63" spans="1:7" x14ac:dyDescent="0.2">
      <c r="A63" s="16"/>
      <c r="B63" s="23"/>
      <c r="C63" s="18"/>
      <c r="D63" s="18" t="s">
        <v>70</v>
      </c>
      <c r="E63" s="32"/>
      <c r="F63" s="29">
        <v>2500</v>
      </c>
      <c r="G63" s="35">
        <f t="shared" si="0"/>
        <v>2723017333.9400001</v>
      </c>
    </row>
    <row r="64" spans="1:7" x14ac:dyDescent="0.2">
      <c r="A64" s="16"/>
      <c r="B64" s="23"/>
      <c r="C64" s="18"/>
      <c r="D64" s="18" t="s">
        <v>318</v>
      </c>
      <c r="E64" s="32"/>
      <c r="F64" s="29">
        <v>254856000</v>
      </c>
      <c r="G64" s="35">
        <f t="shared" si="0"/>
        <v>2468161333.9400001</v>
      </c>
    </row>
    <row r="65" spans="1:8" x14ac:dyDescent="0.2">
      <c r="A65" s="16"/>
      <c r="B65" s="23"/>
      <c r="C65" s="18"/>
      <c r="D65" s="18" t="s">
        <v>71</v>
      </c>
      <c r="E65" s="32">
        <v>200000000</v>
      </c>
      <c r="F65" s="29"/>
      <c r="G65" s="35">
        <f t="shared" si="0"/>
        <v>2668161333.9400001</v>
      </c>
    </row>
    <row r="66" spans="1:8" x14ac:dyDescent="0.2">
      <c r="A66" s="16"/>
      <c r="B66" s="23"/>
      <c r="C66" s="18"/>
      <c r="D66" s="18" t="s">
        <v>334</v>
      </c>
      <c r="E66" s="32">
        <v>10543000</v>
      </c>
      <c r="F66" s="29"/>
      <c r="G66" s="35">
        <f t="shared" si="0"/>
        <v>2678704333.9400001</v>
      </c>
    </row>
    <row r="67" spans="1:8" x14ac:dyDescent="0.2">
      <c r="A67" s="16"/>
      <c r="B67" s="23"/>
      <c r="C67" s="18"/>
      <c r="D67" s="18" t="s">
        <v>0</v>
      </c>
      <c r="E67" s="32"/>
      <c r="F67" s="29">
        <v>200000000</v>
      </c>
      <c r="G67" s="35">
        <f t="shared" si="0"/>
        <v>2478704333.9400001</v>
      </c>
    </row>
    <row r="68" spans="1:8" x14ac:dyDescent="0.2">
      <c r="A68" s="16">
        <v>45991</v>
      </c>
      <c r="B68" s="23"/>
      <c r="C68" s="18"/>
      <c r="D68" s="18" t="s">
        <v>70</v>
      </c>
      <c r="E68" s="32"/>
      <c r="F68" s="29">
        <v>12500</v>
      </c>
      <c r="G68" s="35">
        <f t="shared" si="0"/>
        <v>2478691833.9400001</v>
      </c>
    </row>
    <row r="69" spans="1:8" x14ac:dyDescent="0.2">
      <c r="A69" s="16"/>
      <c r="B69" s="23"/>
      <c r="C69" s="18"/>
      <c r="D69" s="18" t="s">
        <v>335</v>
      </c>
      <c r="E69" s="32">
        <v>1284417.97</v>
      </c>
      <c r="F69" s="29"/>
      <c r="G69" s="35">
        <f t="shared" si="0"/>
        <v>2479976251.9099998</v>
      </c>
    </row>
    <row r="70" spans="1:8" x14ac:dyDescent="0.2">
      <c r="A70" s="16"/>
      <c r="B70" s="23"/>
      <c r="C70" s="18"/>
      <c r="D70" s="18" t="s">
        <v>336</v>
      </c>
      <c r="E70" s="32"/>
      <c r="F70" s="29">
        <v>256883.59</v>
      </c>
      <c r="G70" s="35">
        <f t="shared" si="0"/>
        <v>2479719368.3199997</v>
      </c>
    </row>
    <row r="71" spans="1:8" x14ac:dyDescent="0.2">
      <c r="A71" s="16"/>
      <c r="B71" s="23"/>
      <c r="C71" s="18"/>
      <c r="D71" s="18"/>
      <c r="E71" s="32"/>
      <c r="F71" s="29"/>
      <c r="G71" s="35"/>
    </row>
    <row r="72" spans="1:8" x14ac:dyDescent="0.2">
      <c r="A72" s="16"/>
      <c r="B72" s="23"/>
      <c r="C72" s="18"/>
      <c r="D72" s="18"/>
      <c r="E72" s="32"/>
      <c r="F72" s="29"/>
      <c r="G72" s="35"/>
    </row>
    <row r="73" spans="1:8" x14ac:dyDescent="0.2">
      <c r="A73" s="25"/>
      <c r="B73" s="25"/>
      <c r="C73" s="25"/>
      <c r="D73" s="25"/>
      <c r="E73" s="44">
        <f>SUM(E5:E72)</f>
        <v>3674418082.9699998</v>
      </c>
      <c r="F73" s="44">
        <f>SUM(F5:F72)</f>
        <v>2871989405.5900002</v>
      </c>
      <c r="G73" s="36">
        <f>G70</f>
        <v>2479719368.3199997</v>
      </c>
      <c r="H73" s="4"/>
    </row>
    <row r="74" spans="1:8" x14ac:dyDescent="0.2">
      <c r="H74" s="4"/>
    </row>
  </sheetData>
  <autoFilter ref="B1:B73" xr:uid="{00000000-0009-0000-0000-000000000000}"/>
  <pageMargins left="0.70866141732283472" right="0.70866141732283472" top="0.74803149606299213" bottom="0.74803149606299213" header="0.31496062992125984" footer="0.31496062992125984"/>
  <pageSetup scale="67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E296-D2D0-424D-A59B-1E456C9B05D2}">
  <dimension ref="A1:J230"/>
  <sheetViews>
    <sheetView zoomScaleNormal="100" workbookViewId="0">
      <pane ySplit="1520" topLeftCell="A93" activePane="bottomLeft"/>
      <selection activeCell="I4" sqref="I4:J4"/>
      <selection pane="bottomLeft" activeCell="E117" sqref="A1:XFD1048576"/>
    </sheetView>
  </sheetViews>
  <sheetFormatPr baseColWidth="10" defaultColWidth="8.83203125" defaultRowHeight="15" x14ac:dyDescent="0.2"/>
  <cols>
    <col min="1" max="1" width="10.5" style="56" customWidth="1"/>
    <col min="2" max="2" width="9.5" style="56" customWidth="1"/>
    <col min="3" max="3" width="24.6640625" style="56" customWidth="1"/>
    <col min="4" max="4" width="31.5" style="56" customWidth="1"/>
    <col min="5" max="5" width="18" style="56" customWidth="1"/>
    <col min="6" max="6" width="17.83203125" style="56" customWidth="1"/>
    <col min="7" max="7" width="18.6640625" style="56" customWidth="1"/>
    <col min="8" max="8" width="20.5" style="56" customWidth="1"/>
    <col min="9" max="9" width="15.5" style="56" customWidth="1"/>
    <col min="10" max="10" width="44.1640625" style="56" bestFit="1" customWidth="1"/>
    <col min="11" max="11" width="15.33203125" style="56" bestFit="1" customWidth="1"/>
    <col min="12" max="16384" width="8.83203125" style="56"/>
  </cols>
  <sheetData>
    <row r="1" spans="1:10" x14ac:dyDescent="0.2">
      <c r="A1" s="55" t="s">
        <v>8</v>
      </c>
    </row>
    <row r="2" spans="1:10" x14ac:dyDescent="0.2">
      <c r="A2" s="55" t="s">
        <v>94</v>
      </c>
    </row>
    <row r="3" spans="1:10" x14ac:dyDescent="0.2">
      <c r="A3" s="55"/>
      <c r="I3" s="57" t="s">
        <v>50</v>
      </c>
      <c r="J3" s="58" t="s">
        <v>49</v>
      </c>
    </row>
    <row r="4" spans="1:10" ht="16" x14ac:dyDescent="0.2">
      <c r="A4" s="59" t="s">
        <v>6</v>
      </c>
      <c r="B4" s="59" t="s">
        <v>7</v>
      </c>
      <c r="C4" s="59"/>
      <c r="D4" s="59" t="s">
        <v>5</v>
      </c>
      <c r="E4" s="59" t="s">
        <v>1</v>
      </c>
      <c r="F4" s="59" t="s">
        <v>2</v>
      </c>
      <c r="G4" s="59" t="s">
        <v>3</v>
      </c>
      <c r="I4" s="57" t="s">
        <v>51</v>
      </c>
      <c r="J4" s="58" t="s">
        <v>43</v>
      </c>
    </row>
    <row r="5" spans="1:10" x14ac:dyDescent="0.2">
      <c r="A5" s="60"/>
      <c r="B5" s="58"/>
      <c r="C5" s="58"/>
      <c r="D5" s="58" t="s">
        <v>78</v>
      </c>
      <c r="E5" s="61"/>
      <c r="F5" s="58"/>
      <c r="G5" s="62">
        <v>6918960.1900000004</v>
      </c>
      <c r="H5" s="63"/>
      <c r="I5" s="64" t="s">
        <v>27</v>
      </c>
      <c r="J5" s="58" t="s">
        <v>32</v>
      </c>
    </row>
    <row r="6" spans="1:10" x14ac:dyDescent="0.2">
      <c r="A6" s="60">
        <v>45962</v>
      </c>
      <c r="B6" s="57" t="s">
        <v>39</v>
      </c>
      <c r="C6" s="58" t="s">
        <v>38</v>
      </c>
      <c r="D6" s="58" t="s">
        <v>190</v>
      </c>
      <c r="E6" s="65"/>
      <c r="F6" s="66">
        <v>87840000</v>
      </c>
      <c r="G6" s="67">
        <f>G5+E6-F6</f>
        <v>-80921039.810000002</v>
      </c>
      <c r="H6" s="63"/>
      <c r="I6" s="57" t="s">
        <v>21</v>
      </c>
      <c r="J6" s="58" t="s">
        <v>22</v>
      </c>
    </row>
    <row r="7" spans="1:10" x14ac:dyDescent="0.2">
      <c r="A7" s="60">
        <v>45964</v>
      </c>
      <c r="B7" s="57" t="s">
        <v>51</v>
      </c>
      <c r="C7" s="58" t="s">
        <v>43</v>
      </c>
      <c r="D7" s="58" t="s">
        <v>191</v>
      </c>
      <c r="E7" s="65"/>
      <c r="F7" s="66">
        <v>2500</v>
      </c>
      <c r="G7" s="67">
        <f>G6+E7-F7</f>
        <v>-80923539.810000002</v>
      </c>
      <c r="H7" s="63"/>
      <c r="I7" s="57" t="s">
        <v>34</v>
      </c>
      <c r="J7" s="58" t="s">
        <v>33</v>
      </c>
    </row>
    <row r="8" spans="1:10" x14ac:dyDescent="0.2">
      <c r="A8" s="60"/>
      <c r="B8" s="57" t="s">
        <v>51</v>
      </c>
      <c r="C8" s="58" t="s">
        <v>43</v>
      </c>
      <c r="D8" s="58" t="s">
        <v>68</v>
      </c>
      <c r="E8" s="65"/>
      <c r="F8" s="66">
        <v>6000000</v>
      </c>
      <c r="G8" s="67">
        <f t="shared" ref="G8:G74" si="0">G7+E8-F8</f>
        <v>-86923539.810000002</v>
      </c>
      <c r="H8" s="63"/>
      <c r="I8" s="57" t="s">
        <v>39</v>
      </c>
      <c r="J8" s="58" t="s">
        <v>38</v>
      </c>
    </row>
    <row r="9" spans="1:10" x14ac:dyDescent="0.2">
      <c r="A9" s="68"/>
      <c r="B9" s="64" t="s">
        <v>27</v>
      </c>
      <c r="C9" s="58" t="s">
        <v>32</v>
      </c>
      <c r="D9" s="58" t="s">
        <v>88</v>
      </c>
      <c r="E9" s="66"/>
      <c r="F9" s="69">
        <v>1175000</v>
      </c>
      <c r="G9" s="67">
        <f t="shared" si="0"/>
        <v>-88098539.810000002</v>
      </c>
      <c r="I9" s="57" t="s">
        <v>9</v>
      </c>
      <c r="J9" s="58" t="s">
        <v>23</v>
      </c>
    </row>
    <row r="10" spans="1:10" x14ac:dyDescent="0.2">
      <c r="A10" s="68"/>
      <c r="B10" s="57" t="s">
        <v>24</v>
      </c>
      <c r="C10" s="58" t="s">
        <v>18</v>
      </c>
      <c r="D10" s="58" t="s">
        <v>193</v>
      </c>
      <c r="E10" s="65"/>
      <c r="F10" s="69">
        <v>9830764</v>
      </c>
      <c r="G10" s="67">
        <f t="shared" si="0"/>
        <v>-97929303.810000002</v>
      </c>
      <c r="I10" s="57" t="s">
        <v>44</v>
      </c>
      <c r="J10" s="58" t="s">
        <v>10</v>
      </c>
    </row>
    <row r="11" spans="1:10" x14ac:dyDescent="0.2">
      <c r="A11" s="68">
        <v>45965</v>
      </c>
      <c r="B11" s="64" t="s">
        <v>27</v>
      </c>
      <c r="C11" s="58" t="s">
        <v>32</v>
      </c>
      <c r="D11" s="58" t="s">
        <v>194</v>
      </c>
      <c r="E11" s="65"/>
      <c r="F11" s="69">
        <v>2500</v>
      </c>
      <c r="G11" s="67">
        <f t="shared" si="0"/>
        <v>-97931803.810000002</v>
      </c>
      <c r="I11" s="57" t="s">
        <v>28</v>
      </c>
      <c r="J11" s="58" t="s">
        <v>11</v>
      </c>
    </row>
    <row r="12" spans="1:10" x14ac:dyDescent="0.2">
      <c r="A12" s="68"/>
      <c r="B12" s="64" t="s">
        <v>27</v>
      </c>
      <c r="C12" s="58" t="s">
        <v>32</v>
      </c>
      <c r="D12" s="58" t="s">
        <v>195</v>
      </c>
      <c r="E12" s="66"/>
      <c r="F12" s="69">
        <v>500000</v>
      </c>
      <c r="G12" s="67">
        <f t="shared" si="0"/>
        <v>-98431803.810000002</v>
      </c>
      <c r="I12" s="57" t="s">
        <v>37</v>
      </c>
      <c r="J12" s="58" t="s">
        <v>12</v>
      </c>
    </row>
    <row r="13" spans="1:10" x14ac:dyDescent="0.2">
      <c r="A13" s="68">
        <v>45966</v>
      </c>
      <c r="B13" s="57" t="s">
        <v>51</v>
      </c>
      <c r="C13" s="58" t="s">
        <v>43</v>
      </c>
      <c r="D13" s="58" t="s">
        <v>74</v>
      </c>
      <c r="E13" s="65"/>
      <c r="F13" s="69">
        <v>2500</v>
      </c>
      <c r="G13" s="67">
        <f t="shared" si="0"/>
        <v>-98434303.810000002</v>
      </c>
      <c r="H13" s="70"/>
      <c r="I13" s="57" t="s">
        <v>45</v>
      </c>
      <c r="J13" s="58" t="s">
        <v>13</v>
      </c>
    </row>
    <row r="14" spans="1:10" x14ac:dyDescent="0.2">
      <c r="A14" s="68"/>
      <c r="B14" s="57" t="s">
        <v>51</v>
      </c>
      <c r="C14" s="58" t="s">
        <v>43</v>
      </c>
      <c r="D14" s="58" t="s">
        <v>192</v>
      </c>
      <c r="E14" s="66"/>
      <c r="F14" s="69">
        <v>10000000</v>
      </c>
      <c r="G14" s="67">
        <f t="shared" si="0"/>
        <v>-108434303.81</v>
      </c>
      <c r="H14" s="70"/>
      <c r="I14" s="57" t="s">
        <v>46</v>
      </c>
      <c r="J14" s="58" t="s">
        <v>14</v>
      </c>
    </row>
    <row r="15" spans="1:10" x14ac:dyDescent="0.2">
      <c r="A15" s="68"/>
      <c r="B15" s="57" t="s">
        <v>51</v>
      </c>
      <c r="C15" s="58" t="s">
        <v>43</v>
      </c>
      <c r="D15" s="58" t="s">
        <v>191</v>
      </c>
      <c r="E15" s="65"/>
      <c r="F15" s="69">
        <v>2500</v>
      </c>
      <c r="G15" s="67">
        <f t="shared" si="0"/>
        <v>-108436803.81</v>
      </c>
      <c r="H15" s="70"/>
      <c r="I15" s="57" t="s">
        <v>31</v>
      </c>
      <c r="J15" s="58" t="s">
        <v>15</v>
      </c>
    </row>
    <row r="16" spans="1:10" x14ac:dyDescent="0.2">
      <c r="A16" s="60"/>
      <c r="B16" s="57" t="s">
        <v>51</v>
      </c>
      <c r="C16" s="58" t="s">
        <v>43</v>
      </c>
      <c r="D16" s="58" t="s">
        <v>68</v>
      </c>
      <c r="E16" s="65"/>
      <c r="F16" s="69">
        <v>9000000</v>
      </c>
      <c r="G16" s="67">
        <f t="shared" si="0"/>
        <v>-117436803.81</v>
      </c>
      <c r="H16" s="70"/>
      <c r="I16" s="57" t="s">
        <v>29</v>
      </c>
      <c r="J16" s="58" t="s">
        <v>16</v>
      </c>
    </row>
    <row r="17" spans="1:10" x14ac:dyDescent="0.2">
      <c r="A17" s="60">
        <v>45967</v>
      </c>
      <c r="B17" s="64" t="s">
        <v>27</v>
      </c>
      <c r="C17" s="58" t="s">
        <v>32</v>
      </c>
      <c r="D17" s="58" t="s">
        <v>196</v>
      </c>
      <c r="E17" s="65"/>
      <c r="F17" s="69">
        <v>2250000</v>
      </c>
      <c r="G17" s="67">
        <f t="shared" si="0"/>
        <v>-119686803.81</v>
      </c>
      <c r="H17" s="70"/>
      <c r="I17" s="57" t="s">
        <v>30</v>
      </c>
      <c r="J17" s="58" t="s">
        <v>17</v>
      </c>
    </row>
    <row r="18" spans="1:10" x14ac:dyDescent="0.2">
      <c r="A18" s="60">
        <v>45968</v>
      </c>
      <c r="B18" s="64" t="s">
        <v>27</v>
      </c>
      <c r="C18" s="58" t="s">
        <v>32</v>
      </c>
      <c r="D18" s="58" t="s">
        <v>197</v>
      </c>
      <c r="E18" s="66"/>
      <c r="F18" s="69">
        <v>3270000</v>
      </c>
      <c r="G18" s="67">
        <f t="shared" si="0"/>
        <v>-122956803.81</v>
      </c>
      <c r="H18" s="70"/>
      <c r="I18" s="57" t="s">
        <v>24</v>
      </c>
      <c r="J18" s="58" t="s">
        <v>18</v>
      </c>
    </row>
    <row r="19" spans="1:10" x14ac:dyDescent="0.2">
      <c r="A19" s="60"/>
      <c r="B19" s="57" t="s">
        <v>21</v>
      </c>
      <c r="C19" s="58" t="s">
        <v>22</v>
      </c>
      <c r="D19" s="58" t="s">
        <v>67</v>
      </c>
      <c r="E19" s="65"/>
      <c r="F19" s="69">
        <v>2500</v>
      </c>
      <c r="G19" s="67">
        <f t="shared" si="0"/>
        <v>-122959303.81</v>
      </c>
      <c r="H19" s="70"/>
      <c r="I19" s="57" t="s">
        <v>47</v>
      </c>
      <c r="J19" s="58" t="s">
        <v>19</v>
      </c>
    </row>
    <row r="20" spans="1:10" x14ac:dyDescent="0.2">
      <c r="A20" s="60"/>
      <c r="B20" s="57" t="s">
        <v>21</v>
      </c>
      <c r="C20" s="58" t="s">
        <v>22</v>
      </c>
      <c r="D20" s="58" t="s">
        <v>198</v>
      </c>
      <c r="E20" s="65"/>
      <c r="F20" s="69">
        <v>953750</v>
      </c>
      <c r="G20" s="67">
        <f t="shared" si="0"/>
        <v>-123913053.81</v>
      </c>
      <c r="H20" s="70"/>
      <c r="I20" s="57" t="s">
        <v>26</v>
      </c>
      <c r="J20" s="58" t="s">
        <v>25</v>
      </c>
    </row>
    <row r="21" spans="1:10" x14ac:dyDescent="0.2">
      <c r="A21" s="60">
        <v>45971</v>
      </c>
      <c r="B21" s="57" t="s">
        <v>51</v>
      </c>
      <c r="C21" s="58" t="s">
        <v>43</v>
      </c>
      <c r="D21" s="58" t="s">
        <v>191</v>
      </c>
      <c r="E21" s="65"/>
      <c r="F21" s="69">
        <v>2500</v>
      </c>
      <c r="G21" s="67">
        <f t="shared" si="0"/>
        <v>-123915553.81</v>
      </c>
      <c r="H21" s="70"/>
      <c r="I21" s="57" t="s">
        <v>40</v>
      </c>
      <c r="J21" s="58" t="s">
        <v>35</v>
      </c>
    </row>
    <row r="22" spans="1:10" x14ac:dyDescent="0.2">
      <c r="A22" s="60"/>
      <c r="B22" s="57" t="s">
        <v>51</v>
      </c>
      <c r="C22" s="58" t="s">
        <v>43</v>
      </c>
      <c r="D22" s="58" t="s">
        <v>68</v>
      </c>
      <c r="E22" s="65"/>
      <c r="F22" s="69">
        <v>7000000</v>
      </c>
      <c r="G22" s="67">
        <f t="shared" si="0"/>
        <v>-130915553.81</v>
      </c>
      <c r="I22" s="57" t="s">
        <v>41</v>
      </c>
      <c r="J22" s="58" t="s">
        <v>36</v>
      </c>
    </row>
    <row r="23" spans="1:10" x14ac:dyDescent="0.2">
      <c r="A23" s="60"/>
      <c r="B23" s="57" t="s">
        <v>24</v>
      </c>
      <c r="C23" s="58" t="s">
        <v>18</v>
      </c>
      <c r="D23" s="58" t="s">
        <v>60</v>
      </c>
      <c r="E23" s="65"/>
      <c r="F23" s="69">
        <v>2500</v>
      </c>
      <c r="G23" s="67">
        <f t="shared" si="0"/>
        <v>-130918053.81</v>
      </c>
      <c r="I23" s="57" t="s">
        <v>48</v>
      </c>
      <c r="J23" s="58" t="s">
        <v>20</v>
      </c>
    </row>
    <row r="24" spans="1:10" x14ac:dyDescent="0.2">
      <c r="A24" s="60"/>
      <c r="B24" s="57" t="s">
        <v>24</v>
      </c>
      <c r="C24" s="58" t="s">
        <v>18</v>
      </c>
      <c r="D24" s="58" t="s">
        <v>77</v>
      </c>
      <c r="E24" s="65"/>
      <c r="F24" s="69">
        <v>4700000</v>
      </c>
      <c r="G24" s="67">
        <f t="shared" si="0"/>
        <v>-135618053.81</v>
      </c>
      <c r="I24" s="57" t="s">
        <v>54</v>
      </c>
      <c r="J24" s="58" t="s">
        <v>55</v>
      </c>
    </row>
    <row r="25" spans="1:10" x14ac:dyDescent="0.2">
      <c r="A25" s="60"/>
      <c r="B25" s="57" t="s">
        <v>51</v>
      </c>
      <c r="C25" s="58" t="s">
        <v>43</v>
      </c>
      <c r="D25" s="58" t="s">
        <v>74</v>
      </c>
      <c r="E25" s="65"/>
      <c r="F25" s="69">
        <v>2500</v>
      </c>
      <c r="G25" s="67">
        <f t="shared" si="0"/>
        <v>-135620553.81</v>
      </c>
      <c r="I25" s="57" t="s">
        <v>56</v>
      </c>
      <c r="J25" s="58" t="s">
        <v>57</v>
      </c>
    </row>
    <row r="26" spans="1:10" x14ac:dyDescent="0.2">
      <c r="A26" s="60"/>
      <c r="B26" s="57" t="s">
        <v>51</v>
      </c>
      <c r="C26" s="58" t="s">
        <v>43</v>
      </c>
      <c r="D26" s="58" t="s">
        <v>192</v>
      </c>
      <c r="E26" s="65"/>
      <c r="F26" s="69">
        <v>5000000</v>
      </c>
      <c r="G26" s="67">
        <f t="shared" si="0"/>
        <v>-140620553.81</v>
      </c>
      <c r="I26" s="57" t="s">
        <v>63</v>
      </c>
      <c r="J26" s="58" t="s">
        <v>64</v>
      </c>
    </row>
    <row r="27" spans="1:10" x14ac:dyDescent="0.2">
      <c r="A27" s="60"/>
      <c r="B27" s="57" t="s">
        <v>21</v>
      </c>
      <c r="C27" s="58" t="s">
        <v>22</v>
      </c>
      <c r="D27" s="58" t="s">
        <v>72</v>
      </c>
      <c r="E27" s="65"/>
      <c r="F27" s="69">
        <v>2500</v>
      </c>
      <c r="G27" s="67">
        <f t="shared" si="0"/>
        <v>-140623053.81</v>
      </c>
    </row>
    <row r="28" spans="1:10" x14ac:dyDescent="0.2">
      <c r="A28" s="60"/>
      <c r="B28" s="57" t="s">
        <v>21</v>
      </c>
      <c r="C28" s="58" t="s">
        <v>22</v>
      </c>
      <c r="D28" s="58" t="s">
        <v>199</v>
      </c>
      <c r="E28" s="65"/>
      <c r="F28" s="69">
        <v>1755250</v>
      </c>
      <c r="G28" s="67">
        <f t="shared" si="0"/>
        <v>-142378303.81</v>
      </c>
      <c r="H28" s="70"/>
    </row>
    <row r="29" spans="1:10" x14ac:dyDescent="0.2">
      <c r="A29" s="60"/>
      <c r="B29" s="57" t="s">
        <v>21</v>
      </c>
      <c r="C29" s="58" t="s">
        <v>22</v>
      </c>
      <c r="D29" s="58" t="s">
        <v>74</v>
      </c>
      <c r="E29" s="65"/>
      <c r="F29" s="69">
        <v>2500</v>
      </c>
      <c r="G29" s="67">
        <f t="shared" si="0"/>
        <v>-142380803.81</v>
      </c>
      <c r="I29" s="71"/>
    </row>
    <row r="30" spans="1:10" x14ac:dyDescent="0.2">
      <c r="A30" s="60"/>
      <c r="B30" s="57" t="s">
        <v>21</v>
      </c>
      <c r="C30" s="58" t="s">
        <v>22</v>
      </c>
      <c r="D30" s="58" t="s">
        <v>200</v>
      </c>
      <c r="E30" s="65"/>
      <c r="F30" s="69">
        <v>3722650</v>
      </c>
      <c r="G30" s="67">
        <f t="shared" si="0"/>
        <v>-146103453.81</v>
      </c>
      <c r="H30" s="70"/>
      <c r="I30" s="71"/>
    </row>
    <row r="31" spans="1:10" x14ac:dyDescent="0.2">
      <c r="A31" s="60">
        <v>45972</v>
      </c>
      <c r="B31" s="64" t="s">
        <v>27</v>
      </c>
      <c r="C31" s="58" t="s">
        <v>32</v>
      </c>
      <c r="D31" s="58" t="s">
        <v>201</v>
      </c>
      <c r="E31" s="65"/>
      <c r="F31" s="69">
        <v>2500</v>
      </c>
      <c r="G31" s="67">
        <f t="shared" si="0"/>
        <v>-146105953.81</v>
      </c>
      <c r="I31" s="71"/>
    </row>
    <row r="32" spans="1:10" x14ac:dyDescent="0.2">
      <c r="A32" s="60"/>
      <c r="B32" s="64" t="s">
        <v>27</v>
      </c>
      <c r="C32" s="58" t="s">
        <v>32</v>
      </c>
      <c r="D32" s="58" t="s">
        <v>202</v>
      </c>
      <c r="E32" s="65"/>
      <c r="F32" s="69">
        <v>16050000</v>
      </c>
      <c r="G32" s="67">
        <f t="shared" si="0"/>
        <v>-162155953.81</v>
      </c>
    </row>
    <row r="33" spans="1:9" x14ac:dyDescent="0.2">
      <c r="A33" s="60"/>
      <c r="B33" s="57" t="s">
        <v>24</v>
      </c>
      <c r="C33" s="58" t="s">
        <v>18</v>
      </c>
      <c r="D33" s="58" t="s">
        <v>60</v>
      </c>
      <c r="E33" s="65"/>
      <c r="F33" s="69">
        <v>2500</v>
      </c>
      <c r="G33" s="67">
        <f t="shared" si="0"/>
        <v>-162158453.81</v>
      </c>
    </row>
    <row r="34" spans="1:9" x14ac:dyDescent="0.2">
      <c r="A34" s="60"/>
      <c r="B34" s="57" t="s">
        <v>24</v>
      </c>
      <c r="C34" s="58" t="s">
        <v>18</v>
      </c>
      <c r="D34" s="58" t="s">
        <v>77</v>
      </c>
      <c r="E34" s="66"/>
      <c r="F34" s="69">
        <v>1300000</v>
      </c>
      <c r="G34" s="67">
        <f t="shared" si="0"/>
        <v>-163458453.81</v>
      </c>
    </row>
    <row r="35" spans="1:9" x14ac:dyDescent="0.2">
      <c r="A35" s="60">
        <v>45973</v>
      </c>
      <c r="B35" s="57" t="s">
        <v>24</v>
      </c>
      <c r="C35" s="58" t="s">
        <v>18</v>
      </c>
      <c r="D35" s="58" t="s">
        <v>60</v>
      </c>
      <c r="E35" s="65"/>
      <c r="F35" s="69">
        <v>2500</v>
      </c>
      <c r="G35" s="67">
        <f t="shared" si="0"/>
        <v>-163460953.81</v>
      </c>
    </row>
    <row r="36" spans="1:9" x14ac:dyDescent="0.2">
      <c r="A36" s="60"/>
      <c r="B36" s="57" t="s">
        <v>24</v>
      </c>
      <c r="C36" s="58" t="s">
        <v>18</v>
      </c>
      <c r="D36" s="58" t="s">
        <v>77</v>
      </c>
      <c r="E36" s="65"/>
      <c r="F36" s="69">
        <v>1115000</v>
      </c>
      <c r="G36" s="67">
        <f t="shared" si="0"/>
        <v>-164575953.81</v>
      </c>
    </row>
    <row r="37" spans="1:9" x14ac:dyDescent="0.2">
      <c r="A37" s="60">
        <v>45974</v>
      </c>
      <c r="B37" s="57" t="s">
        <v>51</v>
      </c>
      <c r="C37" s="58" t="s">
        <v>43</v>
      </c>
      <c r="D37" s="58" t="s">
        <v>191</v>
      </c>
      <c r="E37" s="65"/>
      <c r="F37" s="69">
        <v>2500</v>
      </c>
      <c r="G37" s="67">
        <f t="shared" si="0"/>
        <v>-164578453.81</v>
      </c>
    </row>
    <row r="38" spans="1:9" x14ac:dyDescent="0.2">
      <c r="A38" s="60"/>
      <c r="B38" s="57" t="s">
        <v>51</v>
      </c>
      <c r="C38" s="58" t="s">
        <v>43</v>
      </c>
      <c r="D38" s="58" t="s">
        <v>68</v>
      </c>
      <c r="E38" s="65"/>
      <c r="F38" s="69">
        <v>4000000</v>
      </c>
      <c r="G38" s="67">
        <f t="shared" si="0"/>
        <v>-168578453.81</v>
      </c>
    </row>
    <row r="39" spans="1:9" x14ac:dyDescent="0.2">
      <c r="A39" s="60"/>
      <c r="B39" s="57" t="s">
        <v>21</v>
      </c>
      <c r="C39" s="58" t="s">
        <v>22</v>
      </c>
      <c r="D39" s="58" t="s">
        <v>74</v>
      </c>
      <c r="E39" s="65"/>
      <c r="F39" s="69">
        <v>2500</v>
      </c>
      <c r="G39" s="67">
        <f t="shared" si="0"/>
        <v>-168580953.81</v>
      </c>
    </row>
    <row r="40" spans="1:9" x14ac:dyDescent="0.2">
      <c r="A40" s="60"/>
      <c r="B40" s="57" t="s">
        <v>21</v>
      </c>
      <c r="C40" s="58" t="s">
        <v>22</v>
      </c>
      <c r="D40" s="58" t="s">
        <v>203</v>
      </c>
      <c r="E40" s="65"/>
      <c r="F40" s="69">
        <v>23057950</v>
      </c>
      <c r="G40" s="67">
        <f t="shared" si="0"/>
        <v>-191638903.81</v>
      </c>
    </row>
    <row r="41" spans="1:9" x14ac:dyDescent="0.2">
      <c r="A41" s="60"/>
      <c r="B41" s="57" t="s">
        <v>21</v>
      </c>
      <c r="C41" s="58" t="s">
        <v>22</v>
      </c>
      <c r="D41" s="58" t="s">
        <v>75</v>
      </c>
      <c r="E41" s="65"/>
      <c r="F41" s="69">
        <v>2500</v>
      </c>
      <c r="G41" s="67">
        <f t="shared" si="0"/>
        <v>-191641403.81</v>
      </c>
      <c r="I41" s="71"/>
    </row>
    <row r="42" spans="1:9" x14ac:dyDescent="0.2">
      <c r="A42" s="60"/>
      <c r="B42" s="57" t="s">
        <v>21</v>
      </c>
      <c r="C42" s="58" t="s">
        <v>22</v>
      </c>
      <c r="D42" s="58" t="s">
        <v>204</v>
      </c>
      <c r="E42" s="65"/>
      <c r="F42" s="69">
        <v>2832000</v>
      </c>
      <c r="G42" s="67">
        <f t="shared" si="0"/>
        <v>-194473403.81</v>
      </c>
      <c r="I42" s="71"/>
    </row>
    <row r="43" spans="1:9" x14ac:dyDescent="0.2">
      <c r="A43" s="60"/>
      <c r="B43" s="57" t="s">
        <v>21</v>
      </c>
      <c r="C43" s="58" t="s">
        <v>22</v>
      </c>
      <c r="D43" s="58" t="s">
        <v>85</v>
      </c>
      <c r="E43" s="65"/>
      <c r="F43" s="69">
        <v>2500</v>
      </c>
      <c r="G43" s="67">
        <f t="shared" si="0"/>
        <v>-194475903.81</v>
      </c>
      <c r="I43" s="71"/>
    </row>
    <row r="44" spans="1:9" x14ac:dyDescent="0.2">
      <c r="A44" s="60"/>
      <c r="B44" s="57" t="s">
        <v>21</v>
      </c>
      <c r="C44" s="58" t="s">
        <v>22</v>
      </c>
      <c r="D44" s="58" t="s">
        <v>205</v>
      </c>
      <c r="E44" s="65"/>
      <c r="F44" s="69">
        <v>652375</v>
      </c>
      <c r="G44" s="67">
        <f t="shared" si="0"/>
        <v>-195128278.81</v>
      </c>
      <c r="I44" s="71"/>
    </row>
    <row r="45" spans="1:9" x14ac:dyDescent="0.2">
      <c r="A45" s="60">
        <v>45975</v>
      </c>
      <c r="B45" s="57" t="s">
        <v>31</v>
      </c>
      <c r="C45" s="58" t="s">
        <v>15</v>
      </c>
      <c r="D45" s="58" t="s">
        <v>60</v>
      </c>
      <c r="E45" s="65"/>
      <c r="F45" s="69">
        <v>2500</v>
      </c>
      <c r="G45" s="67">
        <f t="shared" si="0"/>
        <v>-195130778.81</v>
      </c>
      <c r="H45" s="51"/>
      <c r="I45" s="71"/>
    </row>
    <row r="46" spans="1:9" x14ac:dyDescent="0.2">
      <c r="A46" s="60"/>
      <c r="B46" s="57" t="s">
        <v>31</v>
      </c>
      <c r="C46" s="58" t="s">
        <v>15</v>
      </c>
      <c r="D46" s="58" t="s">
        <v>82</v>
      </c>
      <c r="E46" s="65"/>
      <c r="F46" s="69">
        <v>650000</v>
      </c>
      <c r="G46" s="67">
        <f t="shared" si="0"/>
        <v>-195780778.81</v>
      </c>
      <c r="H46" s="72"/>
      <c r="I46" s="71"/>
    </row>
    <row r="47" spans="1:9" x14ac:dyDescent="0.2">
      <c r="A47" s="60"/>
      <c r="B47" s="64" t="s">
        <v>27</v>
      </c>
      <c r="C47" s="58" t="s">
        <v>32</v>
      </c>
      <c r="D47" s="58" t="s">
        <v>60</v>
      </c>
      <c r="E47" s="65"/>
      <c r="F47" s="69">
        <v>2500</v>
      </c>
      <c r="G47" s="67">
        <f t="shared" si="0"/>
        <v>-195783278.81</v>
      </c>
      <c r="H47" s="72"/>
      <c r="I47" s="71"/>
    </row>
    <row r="48" spans="1:9" x14ac:dyDescent="0.2">
      <c r="A48" s="60"/>
      <c r="B48" s="64" t="s">
        <v>27</v>
      </c>
      <c r="C48" s="58" t="s">
        <v>32</v>
      </c>
      <c r="D48" s="58" t="s">
        <v>206</v>
      </c>
      <c r="E48" s="65"/>
      <c r="F48" s="69">
        <v>300000</v>
      </c>
      <c r="G48" s="67">
        <f t="shared" si="0"/>
        <v>-196083278.81</v>
      </c>
      <c r="H48" s="70"/>
      <c r="I48" s="50"/>
    </row>
    <row r="49" spans="1:9" x14ac:dyDescent="0.2">
      <c r="A49" s="60"/>
      <c r="B49" s="57" t="s">
        <v>39</v>
      </c>
      <c r="C49" s="58" t="s">
        <v>38</v>
      </c>
      <c r="D49" s="58" t="s">
        <v>73</v>
      </c>
      <c r="E49" s="66"/>
      <c r="F49" s="69">
        <v>2500</v>
      </c>
      <c r="G49" s="67">
        <f t="shared" si="0"/>
        <v>-196085778.81</v>
      </c>
      <c r="H49" s="70"/>
      <c r="I49" s="71"/>
    </row>
    <row r="50" spans="1:9" x14ac:dyDescent="0.2">
      <c r="A50" s="60"/>
      <c r="B50" s="57" t="s">
        <v>39</v>
      </c>
      <c r="C50" s="58" t="s">
        <v>38</v>
      </c>
      <c r="D50" s="58" t="s">
        <v>81</v>
      </c>
      <c r="E50" s="66"/>
      <c r="F50" s="69">
        <v>12284300</v>
      </c>
      <c r="G50" s="67">
        <f t="shared" si="0"/>
        <v>-208370078.81</v>
      </c>
      <c r="H50" s="70"/>
      <c r="I50" s="71"/>
    </row>
    <row r="51" spans="1:9" x14ac:dyDescent="0.2">
      <c r="A51" s="60">
        <v>45978</v>
      </c>
      <c r="B51" s="57" t="s">
        <v>45</v>
      </c>
      <c r="C51" s="58" t="s">
        <v>13</v>
      </c>
      <c r="D51" s="58" t="s">
        <v>89</v>
      </c>
      <c r="E51" s="66"/>
      <c r="F51" s="69">
        <v>1650000</v>
      </c>
      <c r="G51" s="67">
        <f t="shared" si="0"/>
        <v>-210020078.81</v>
      </c>
      <c r="H51" s="70"/>
      <c r="I51" s="71"/>
    </row>
    <row r="52" spans="1:9" x14ac:dyDescent="0.2">
      <c r="A52" s="60"/>
      <c r="B52" s="57" t="s">
        <v>39</v>
      </c>
      <c r="C52" s="58" t="s">
        <v>38</v>
      </c>
      <c r="D52" s="58" t="s">
        <v>211</v>
      </c>
      <c r="E52" s="66"/>
      <c r="F52" s="69">
        <v>2500</v>
      </c>
      <c r="G52" s="67">
        <f t="shared" si="0"/>
        <v>-210022578.81</v>
      </c>
      <c r="H52" s="70"/>
      <c r="I52" s="71"/>
    </row>
    <row r="53" spans="1:9" x14ac:dyDescent="0.2">
      <c r="A53" s="60"/>
      <c r="B53" s="57" t="s">
        <v>39</v>
      </c>
      <c r="C53" s="58" t="s">
        <v>38</v>
      </c>
      <c r="D53" s="58" t="s">
        <v>212</v>
      </c>
      <c r="E53" s="66"/>
      <c r="F53" s="69">
        <v>1484375</v>
      </c>
      <c r="G53" s="67">
        <f t="shared" si="0"/>
        <v>-211506953.81</v>
      </c>
      <c r="H53" s="70"/>
      <c r="I53" s="71"/>
    </row>
    <row r="54" spans="1:9" x14ac:dyDescent="0.2">
      <c r="A54" s="60"/>
      <c r="B54" s="57" t="s">
        <v>24</v>
      </c>
      <c r="C54" s="58" t="s">
        <v>18</v>
      </c>
      <c r="D54" s="58" t="s">
        <v>60</v>
      </c>
      <c r="E54" s="66"/>
      <c r="F54" s="69">
        <v>2500</v>
      </c>
      <c r="G54" s="67">
        <f t="shared" si="0"/>
        <v>-211509453.81</v>
      </c>
      <c r="H54" s="70"/>
      <c r="I54" s="71"/>
    </row>
    <row r="55" spans="1:9" x14ac:dyDescent="0.2">
      <c r="A55" s="60"/>
      <c r="B55" s="57" t="s">
        <v>24</v>
      </c>
      <c r="C55" s="58" t="s">
        <v>18</v>
      </c>
      <c r="D55" s="58" t="s">
        <v>77</v>
      </c>
      <c r="E55" s="66"/>
      <c r="F55" s="69">
        <v>2000000</v>
      </c>
      <c r="G55" s="67">
        <f t="shared" si="0"/>
        <v>-213509453.81</v>
      </c>
      <c r="I55" s="71"/>
    </row>
    <row r="56" spans="1:9" x14ac:dyDescent="0.2">
      <c r="A56" s="60"/>
      <c r="B56" s="57" t="s">
        <v>39</v>
      </c>
      <c r="C56" s="58" t="s">
        <v>38</v>
      </c>
      <c r="D56" s="58" t="s">
        <v>213</v>
      </c>
      <c r="E56" s="66"/>
      <c r="F56" s="69">
        <v>1225000</v>
      </c>
      <c r="G56" s="67">
        <f t="shared" si="0"/>
        <v>-214734453.81</v>
      </c>
      <c r="I56" s="71"/>
    </row>
    <row r="57" spans="1:9" x14ac:dyDescent="0.2">
      <c r="A57" s="60"/>
      <c r="B57" s="57" t="s">
        <v>51</v>
      </c>
      <c r="C57" s="58" t="s">
        <v>43</v>
      </c>
      <c r="D57" s="58" t="s">
        <v>60</v>
      </c>
      <c r="E57" s="66"/>
      <c r="F57" s="69">
        <v>2500</v>
      </c>
      <c r="G57" s="67">
        <f t="shared" si="0"/>
        <v>-214736953.81</v>
      </c>
      <c r="I57" s="71"/>
    </row>
    <row r="58" spans="1:9" x14ac:dyDescent="0.2">
      <c r="A58" s="60"/>
      <c r="B58" s="57" t="s">
        <v>51</v>
      </c>
      <c r="C58" s="58" t="s">
        <v>43</v>
      </c>
      <c r="D58" s="58" t="s">
        <v>214</v>
      </c>
      <c r="E58" s="66"/>
      <c r="F58" s="69">
        <v>1000000</v>
      </c>
      <c r="G58" s="67">
        <f t="shared" si="0"/>
        <v>-215736953.81</v>
      </c>
      <c r="I58" s="71"/>
    </row>
    <row r="59" spans="1:9" x14ac:dyDescent="0.2">
      <c r="A59" s="60"/>
      <c r="B59" s="64" t="s">
        <v>27</v>
      </c>
      <c r="C59" s="58" t="s">
        <v>32</v>
      </c>
      <c r="D59" s="58" t="s">
        <v>76</v>
      </c>
      <c r="E59" s="65"/>
      <c r="F59" s="69">
        <v>62271000</v>
      </c>
      <c r="G59" s="67">
        <f t="shared" si="0"/>
        <v>-278007953.81</v>
      </c>
    </row>
    <row r="60" spans="1:9" x14ac:dyDescent="0.2">
      <c r="A60" s="60"/>
      <c r="B60" s="57" t="s">
        <v>39</v>
      </c>
      <c r="C60" s="58" t="s">
        <v>38</v>
      </c>
      <c r="D60" s="58" t="s">
        <v>190</v>
      </c>
      <c r="E60" s="66"/>
      <c r="F60" s="69">
        <v>80401000</v>
      </c>
      <c r="G60" s="67">
        <f t="shared" si="0"/>
        <v>-358408953.81</v>
      </c>
      <c r="H60" s="70"/>
    </row>
    <row r="61" spans="1:9" x14ac:dyDescent="0.2">
      <c r="A61" s="60">
        <v>45979</v>
      </c>
      <c r="B61" s="64" t="s">
        <v>27</v>
      </c>
      <c r="C61" s="58" t="s">
        <v>32</v>
      </c>
      <c r="D61" s="58" t="s">
        <v>60</v>
      </c>
      <c r="E61" s="65"/>
      <c r="F61" s="69">
        <v>2500</v>
      </c>
      <c r="G61" s="67">
        <f t="shared" si="0"/>
        <v>-358411453.81</v>
      </c>
      <c r="H61" s="70"/>
      <c r="I61" s="73"/>
    </row>
    <row r="62" spans="1:9" x14ac:dyDescent="0.2">
      <c r="A62" s="60"/>
      <c r="B62" s="64" t="s">
        <v>27</v>
      </c>
      <c r="C62" s="58" t="s">
        <v>32</v>
      </c>
      <c r="D62" s="58" t="s">
        <v>215</v>
      </c>
      <c r="E62" s="65"/>
      <c r="F62" s="69">
        <v>2000000</v>
      </c>
      <c r="G62" s="67">
        <f t="shared" si="0"/>
        <v>-360411453.81</v>
      </c>
      <c r="H62" s="73"/>
    </row>
    <row r="63" spans="1:9" x14ac:dyDescent="0.2">
      <c r="A63" s="60"/>
      <c r="B63" s="64" t="s">
        <v>27</v>
      </c>
      <c r="C63" s="58" t="s">
        <v>32</v>
      </c>
      <c r="D63" s="58" t="s">
        <v>216</v>
      </c>
      <c r="E63" s="66"/>
      <c r="F63" s="69">
        <v>2500</v>
      </c>
      <c r="G63" s="67">
        <f t="shared" si="0"/>
        <v>-360413953.81</v>
      </c>
      <c r="H63" s="70"/>
      <c r="I63" s="70"/>
    </row>
    <row r="64" spans="1:9" x14ac:dyDescent="0.2">
      <c r="A64" s="60"/>
      <c r="B64" s="64" t="s">
        <v>27</v>
      </c>
      <c r="C64" s="58" t="s">
        <v>32</v>
      </c>
      <c r="D64" s="58" t="s">
        <v>217</v>
      </c>
      <c r="E64" s="65"/>
      <c r="F64" s="69">
        <v>14100000</v>
      </c>
      <c r="G64" s="67">
        <f t="shared" si="0"/>
        <v>-374513953.81</v>
      </c>
      <c r="H64" s="70"/>
    </row>
    <row r="65" spans="1:10" x14ac:dyDescent="0.2">
      <c r="A65" s="60"/>
      <c r="B65" s="57" t="s">
        <v>51</v>
      </c>
      <c r="C65" s="58" t="s">
        <v>43</v>
      </c>
      <c r="D65" s="58" t="s">
        <v>67</v>
      </c>
      <c r="E65" s="65"/>
      <c r="F65" s="69">
        <v>2500</v>
      </c>
      <c r="G65" s="67">
        <f t="shared" si="0"/>
        <v>-374516453.81</v>
      </c>
      <c r="H65" s="70"/>
      <c r="J65" s="74"/>
    </row>
    <row r="66" spans="1:10" x14ac:dyDescent="0.2">
      <c r="A66" s="60"/>
      <c r="B66" s="57" t="s">
        <v>51</v>
      </c>
      <c r="C66" s="58" t="s">
        <v>43</v>
      </c>
      <c r="D66" s="58" t="s">
        <v>214</v>
      </c>
      <c r="E66" s="65"/>
      <c r="F66" s="69">
        <v>6000000</v>
      </c>
      <c r="G66" s="67">
        <f t="shared" si="0"/>
        <v>-380516453.81</v>
      </c>
      <c r="J66" s="74"/>
    </row>
    <row r="67" spans="1:10" x14ac:dyDescent="0.2">
      <c r="A67" s="60"/>
      <c r="B67" s="57" t="s">
        <v>51</v>
      </c>
      <c r="C67" s="58" t="s">
        <v>43</v>
      </c>
      <c r="D67" s="58" t="s">
        <v>191</v>
      </c>
      <c r="E67" s="66"/>
      <c r="F67" s="69">
        <v>2500</v>
      </c>
      <c r="G67" s="67">
        <f t="shared" si="0"/>
        <v>-380518953.81</v>
      </c>
      <c r="J67" s="74"/>
    </row>
    <row r="68" spans="1:10" x14ac:dyDescent="0.2">
      <c r="A68" s="75"/>
      <c r="B68" s="57" t="s">
        <v>51</v>
      </c>
      <c r="C68" s="58" t="s">
        <v>43</v>
      </c>
      <c r="D68" s="58" t="s">
        <v>68</v>
      </c>
      <c r="E68" s="66"/>
      <c r="F68" s="69">
        <v>5000000</v>
      </c>
      <c r="G68" s="67">
        <f t="shared" si="0"/>
        <v>-385518953.81</v>
      </c>
      <c r="J68" s="74"/>
    </row>
    <row r="69" spans="1:10" x14ac:dyDescent="0.2">
      <c r="A69" s="60">
        <v>45980</v>
      </c>
      <c r="B69" s="57" t="s">
        <v>24</v>
      </c>
      <c r="C69" s="58" t="s">
        <v>18</v>
      </c>
      <c r="D69" s="58" t="s">
        <v>60</v>
      </c>
      <c r="E69" s="66"/>
      <c r="F69" s="69">
        <v>2500</v>
      </c>
      <c r="G69" s="67">
        <f t="shared" si="0"/>
        <v>-385521453.81</v>
      </c>
      <c r="J69" s="76"/>
    </row>
    <row r="70" spans="1:10" x14ac:dyDescent="0.2">
      <c r="A70" s="75"/>
      <c r="B70" s="57" t="s">
        <v>24</v>
      </c>
      <c r="C70" s="58" t="s">
        <v>18</v>
      </c>
      <c r="D70" s="58" t="s">
        <v>77</v>
      </c>
      <c r="E70" s="66"/>
      <c r="F70" s="69">
        <v>12200000</v>
      </c>
      <c r="G70" s="67">
        <f t="shared" si="0"/>
        <v>-397721453.81</v>
      </c>
    </row>
    <row r="71" spans="1:10" x14ac:dyDescent="0.2">
      <c r="A71" s="60"/>
      <c r="B71" s="64" t="s">
        <v>27</v>
      </c>
      <c r="C71" s="58" t="s">
        <v>32</v>
      </c>
      <c r="D71" s="58" t="s">
        <v>218</v>
      </c>
      <c r="E71" s="66"/>
      <c r="F71" s="69">
        <v>2374000</v>
      </c>
      <c r="G71" s="67">
        <f t="shared" si="0"/>
        <v>-400095453.81</v>
      </c>
    </row>
    <row r="72" spans="1:10" x14ac:dyDescent="0.2">
      <c r="A72" s="60"/>
      <c r="B72" s="64" t="s">
        <v>27</v>
      </c>
      <c r="C72" s="58" t="s">
        <v>32</v>
      </c>
      <c r="D72" s="58" t="s">
        <v>222</v>
      </c>
      <c r="E72" s="65"/>
      <c r="F72" s="69">
        <v>10200000</v>
      </c>
      <c r="G72" s="67">
        <f t="shared" si="0"/>
        <v>-410295453.81</v>
      </c>
    </row>
    <row r="73" spans="1:10" x14ac:dyDescent="0.2">
      <c r="A73" s="60"/>
      <c r="B73" s="64" t="s">
        <v>27</v>
      </c>
      <c r="C73" s="58" t="s">
        <v>32</v>
      </c>
      <c r="D73" s="58" t="s">
        <v>223</v>
      </c>
      <c r="E73" s="66"/>
      <c r="F73" s="69">
        <v>3620500</v>
      </c>
      <c r="G73" s="67">
        <f t="shared" si="0"/>
        <v>-413915953.81</v>
      </c>
    </row>
    <row r="74" spans="1:10" x14ac:dyDescent="0.2">
      <c r="A74" s="60"/>
      <c r="B74" s="64" t="s">
        <v>27</v>
      </c>
      <c r="C74" s="58" t="s">
        <v>32</v>
      </c>
      <c r="D74" s="58" t="s">
        <v>224</v>
      </c>
      <c r="E74" s="65"/>
      <c r="F74" s="69">
        <v>5500000</v>
      </c>
      <c r="G74" s="67">
        <f t="shared" si="0"/>
        <v>-419415953.81</v>
      </c>
    </row>
    <row r="75" spans="1:10" x14ac:dyDescent="0.2">
      <c r="A75" s="60"/>
      <c r="B75" s="64" t="s">
        <v>27</v>
      </c>
      <c r="C75" s="58" t="s">
        <v>32</v>
      </c>
      <c r="D75" s="58" t="s">
        <v>88</v>
      </c>
      <c r="E75" s="65"/>
      <c r="F75" s="69">
        <v>7595000</v>
      </c>
      <c r="G75" s="67">
        <f t="shared" ref="G75:G142" si="1">G74+E75-F75</f>
        <v>-427010953.81</v>
      </c>
    </row>
    <row r="76" spans="1:10" x14ac:dyDescent="0.2">
      <c r="A76" s="60">
        <v>45981</v>
      </c>
      <c r="B76" s="64" t="s">
        <v>27</v>
      </c>
      <c r="C76" s="58" t="s">
        <v>32</v>
      </c>
      <c r="D76" s="58" t="s">
        <v>60</v>
      </c>
      <c r="E76" s="65"/>
      <c r="F76" s="69">
        <v>2500</v>
      </c>
      <c r="G76" s="67">
        <f t="shared" si="1"/>
        <v>-427013453.81</v>
      </c>
    </row>
    <row r="77" spans="1:10" x14ac:dyDescent="0.2">
      <c r="A77" s="60"/>
      <c r="B77" s="64" t="s">
        <v>27</v>
      </c>
      <c r="C77" s="58" t="s">
        <v>32</v>
      </c>
      <c r="D77" s="58" t="s">
        <v>77</v>
      </c>
      <c r="E77" s="65"/>
      <c r="F77" s="69">
        <v>9100000</v>
      </c>
      <c r="G77" s="67">
        <f t="shared" si="1"/>
        <v>-436113453.81</v>
      </c>
    </row>
    <row r="78" spans="1:10" x14ac:dyDescent="0.2">
      <c r="A78" s="75"/>
      <c r="B78" s="64" t="s">
        <v>27</v>
      </c>
      <c r="C78" s="58" t="s">
        <v>32</v>
      </c>
      <c r="D78" s="58" t="s">
        <v>238</v>
      </c>
      <c r="E78" s="65"/>
      <c r="F78" s="69">
        <v>2500</v>
      </c>
      <c r="G78" s="67">
        <f t="shared" si="1"/>
        <v>-436115953.81</v>
      </c>
    </row>
    <row r="79" spans="1:10" x14ac:dyDescent="0.2">
      <c r="A79" s="60"/>
      <c r="B79" s="64" t="s">
        <v>27</v>
      </c>
      <c r="C79" s="58" t="s">
        <v>32</v>
      </c>
      <c r="D79" s="58" t="s">
        <v>239</v>
      </c>
      <c r="E79" s="66"/>
      <c r="F79" s="69">
        <v>5300000</v>
      </c>
      <c r="G79" s="67">
        <f t="shared" si="1"/>
        <v>-441415953.81</v>
      </c>
    </row>
    <row r="80" spans="1:10" x14ac:dyDescent="0.2">
      <c r="A80" s="60"/>
      <c r="B80" s="64" t="s">
        <v>27</v>
      </c>
      <c r="C80" s="58" t="s">
        <v>32</v>
      </c>
      <c r="D80" s="58" t="s">
        <v>88</v>
      </c>
      <c r="E80" s="65"/>
      <c r="F80" s="69">
        <v>1649000</v>
      </c>
      <c r="G80" s="67">
        <f t="shared" si="1"/>
        <v>-443064953.81</v>
      </c>
    </row>
    <row r="81" spans="1:7" x14ac:dyDescent="0.2">
      <c r="A81" s="60">
        <v>45982</v>
      </c>
      <c r="B81" s="57" t="s">
        <v>51</v>
      </c>
      <c r="C81" s="58" t="s">
        <v>43</v>
      </c>
      <c r="D81" s="58" t="s">
        <v>294</v>
      </c>
      <c r="E81" s="65"/>
      <c r="F81" s="69">
        <v>2500</v>
      </c>
      <c r="G81" s="67">
        <f t="shared" si="1"/>
        <v>-443067453.81</v>
      </c>
    </row>
    <row r="82" spans="1:7" x14ac:dyDescent="0.2">
      <c r="A82" s="60"/>
      <c r="B82" s="57" t="s">
        <v>51</v>
      </c>
      <c r="C82" s="58" t="s">
        <v>43</v>
      </c>
      <c r="D82" s="58" t="s">
        <v>295</v>
      </c>
      <c r="E82" s="65"/>
      <c r="F82" s="69">
        <v>10000000</v>
      </c>
      <c r="G82" s="67">
        <f t="shared" si="1"/>
        <v>-453067453.81</v>
      </c>
    </row>
    <row r="83" spans="1:7" x14ac:dyDescent="0.2">
      <c r="A83" s="60">
        <v>45983</v>
      </c>
      <c r="B83" s="57" t="s">
        <v>51</v>
      </c>
      <c r="C83" s="58" t="s">
        <v>43</v>
      </c>
      <c r="D83" s="58" t="s">
        <v>191</v>
      </c>
      <c r="E83" s="65"/>
      <c r="F83" s="69">
        <v>2500</v>
      </c>
      <c r="G83" s="67">
        <f t="shared" si="1"/>
        <v>-453069953.81</v>
      </c>
    </row>
    <row r="84" spans="1:7" x14ac:dyDescent="0.2">
      <c r="A84" s="60"/>
      <c r="B84" s="57" t="s">
        <v>51</v>
      </c>
      <c r="C84" s="58" t="s">
        <v>43</v>
      </c>
      <c r="D84" s="58" t="s">
        <v>68</v>
      </c>
      <c r="E84" s="65"/>
      <c r="F84" s="69">
        <v>7000000</v>
      </c>
      <c r="G84" s="67">
        <f t="shared" si="1"/>
        <v>-460069953.81</v>
      </c>
    </row>
    <row r="85" spans="1:7" x14ac:dyDescent="0.2">
      <c r="A85" s="60">
        <v>45985</v>
      </c>
      <c r="B85" s="57" t="s">
        <v>24</v>
      </c>
      <c r="C85" s="58" t="s">
        <v>18</v>
      </c>
      <c r="D85" s="58" t="s">
        <v>60</v>
      </c>
      <c r="E85" s="66"/>
      <c r="F85" s="69">
        <v>2500</v>
      </c>
      <c r="G85" s="67">
        <f t="shared" si="1"/>
        <v>-460072453.81</v>
      </c>
    </row>
    <row r="86" spans="1:7" x14ac:dyDescent="0.2">
      <c r="A86" s="75"/>
      <c r="B86" s="57" t="s">
        <v>24</v>
      </c>
      <c r="C86" s="58" t="s">
        <v>18</v>
      </c>
      <c r="D86" s="58" t="s">
        <v>77</v>
      </c>
      <c r="E86" s="66"/>
      <c r="F86" s="69">
        <v>1000000</v>
      </c>
      <c r="G86" s="67">
        <f t="shared" si="1"/>
        <v>-461072453.81</v>
      </c>
    </row>
    <row r="87" spans="1:7" x14ac:dyDescent="0.2">
      <c r="A87" s="60"/>
      <c r="B87" s="64" t="s">
        <v>27</v>
      </c>
      <c r="C87" s="58" t="s">
        <v>32</v>
      </c>
      <c r="D87" s="58" t="s">
        <v>216</v>
      </c>
      <c r="E87" s="66"/>
      <c r="F87" s="69">
        <v>2500</v>
      </c>
      <c r="G87" s="67">
        <f t="shared" si="1"/>
        <v>-461074953.81</v>
      </c>
    </row>
    <row r="88" spans="1:7" x14ac:dyDescent="0.2">
      <c r="A88" s="60"/>
      <c r="B88" s="64" t="s">
        <v>27</v>
      </c>
      <c r="C88" s="58" t="s">
        <v>32</v>
      </c>
      <c r="D88" s="58" t="s">
        <v>242</v>
      </c>
      <c r="E88" s="65"/>
      <c r="F88" s="69">
        <v>55800000</v>
      </c>
      <c r="G88" s="67">
        <f t="shared" si="1"/>
        <v>-516874953.81</v>
      </c>
    </row>
    <row r="89" spans="1:7" x14ac:dyDescent="0.2">
      <c r="A89" s="60"/>
      <c r="B89" s="64" t="s">
        <v>27</v>
      </c>
      <c r="C89" s="58" t="s">
        <v>32</v>
      </c>
      <c r="D89" s="58" t="s">
        <v>88</v>
      </c>
      <c r="E89" s="66"/>
      <c r="F89" s="69">
        <v>1728000</v>
      </c>
      <c r="G89" s="67">
        <f t="shared" si="1"/>
        <v>-518602953.81</v>
      </c>
    </row>
    <row r="90" spans="1:7" x14ac:dyDescent="0.2">
      <c r="A90" s="60"/>
      <c r="B90" s="64" t="s">
        <v>27</v>
      </c>
      <c r="C90" s="58" t="s">
        <v>32</v>
      </c>
      <c r="D90" s="58" t="s">
        <v>243</v>
      </c>
      <c r="E90" s="65"/>
      <c r="F90" s="69">
        <v>1500</v>
      </c>
      <c r="G90" s="67">
        <f t="shared" si="1"/>
        <v>-518604453.81</v>
      </c>
    </row>
    <row r="91" spans="1:7" x14ac:dyDescent="0.2">
      <c r="A91" s="60"/>
      <c r="B91" s="64" t="s">
        <v>27</v>
      </c>
      <c r="C91" s="58" t="s">
        <v>32</v>
      </c>
      <c r="D91" s="58" t="s">
        <v>244</v>
      </c>
      <c r="E91" s="66"/>
      <c r="F91" s="69">
        <v>1772820</v>
      </c>
      <c r="G91" s="67">
        <f t="shared" si="1"/>
        <v>-520377273.81</v>
      </c>
    </row>
    <row r="92" spans="1:7" x14ac:dyDescent="0.2">
      <c r="A92" s="60"/>
      <c r="B92" s="57" t="s">
        <v>51</v>
      </c>
      <c r="C92" s="58" t="s">
        <v>43</v>
      </c>
      <c r="D92" s="58" t="s">
        <v>74</v>
      </c>
      <c r="E92" s="65"/>
      <c r="F92" s="69">
        <v>2500</v>
      </c>
      <c r="G92" s="67">
        <f t="shared" si="1"/>
        <v>-520379773.81</v>
      </c>
    </row>
    <row r="93" spans="1:7" x14ac:dyDescent="0.2">
      <c r="A93" s="60"/>
      <c r="B93" s="57" t="s">
        <v>51</v>
      </c>
      <c r="C93" s="58" t="s">
        <v>43</v>
      </c>
      <c r="D93" s="58" t="s">
        <v>286</v>
      </c>
      <c r="E93" s="65"/>
      <c r="F93" s="69">
        <v>15000000</v>
      </c>
      <c r="G93" s="67">
        <f t="shared" si="1"/>
        <v>-535379773.81</v>
      </c>
    </row>
    <row r="94" spans="1:7" x14ac:dyDescent="0.2">
      <c r="A94" s="60"/>
      <c r="B94" s="57" t="s">
        <v>51</v>
      </c>
      <c r="C94" s="58" t="s">
        <v>43</v>
      </c>
      <c r="D94" s="58" t="s">
        <v>72</v>
      </c>
      <c r="E94" s="66"/>
      <c r="F94" s="69">
        <v>2500</v>
      </c>
      <c r="G94" s="67">
        <f t="shared" si="1"/>
        <v>-535382273.81</v>
      </c>
    </row>
    <row r="95" spans="1:7" x14ac:dyDescent="0.2">
      <c r="A95" s="75"/>
      <c r="B95" s="57" t="s">
        <v>51</v>
      </c>
      <c r="C95" s="58" t="s">
        <v>43</v>
      </c>
      <c r="D95" s="58" t="s">
        <v>287</v>
      </c>
      <c r="E95" s="65"/>
      <c r="F95" s="69">
        <v>15000000</v>
      </c>
      <c r="G95" s="67">
        <f t="shared" si="1"/>
        <v>-550382273.80999994</v>
      </c>
    </row>
    <row r="96" spans="1:7" x14ac:dyDescent="0.2">
      <c r="A96" s="60"/>
      <c r="B96" s="57" t="s">
        <v>44</v>
      </c>
      <c r="C96" s="58" t="s">
        <v>10</v>
      </c>
      <c r="D96" s="58" t="s">
        <v>288</v>
      </c>
      <c r="E96" s="65"/>
      <c r="F96" s="69">
        <v>2500</v>
      </c>
      <c r="G96" s="67">
        <f t="shared" si="1"/>
        <v>-550384773.80999994</v>
      </c>
    </row>
    <row r="97" spans="1:8" x14ac:dyDescent="0.2">
      <c r="A97" s="60"/>
      <c r="B97" s="57" t="s">
        <v>44</v>
      </c>
      <c r="C97" s="58" t="s">
        <v>10</v>
      </c>
      <c r="D97" s="58" t="s">
        <v>289</v>
      </c>
      <c r="E97" s="65"/>
      <c r="F97" s="69">
        <v>21645000</v>
      </c>
      <c r="G97" s="67">
        <f t="shared" si="1"/>
        <v>-572029773.80999994</v>
      </c>
    </row>
    <row r="98" spans="1:8" x14ac:dyDescent="0.2">
      <c r="A98" s="60"/>
      <c r="B98" s="64" t="s">
        <v>27</v>
      </c>
      <c r="C98" s="58" t="s">
        <v>32</v>
      </c>
      <c r="D98" s="58" t="s">
        <v>290</v>
      </c>
      <c r="E98" s="65"/>
      <c r="F98" s="69">
        <v>2500</v>
      </c>
      <c r="G98" s="67">
        <f t="shared" si="1"/>
        <v>-572032273.80999994</v>
      </c>
    </row>
    <row r="99" spans="1:8" x14ac:dyDescent="0.2">
      <c r="A99" s="60"/>
      <c r="B99" s="64" t="s">
        <v>27</v>
      </c>
      <c r="C99" s="58" t="s">
        <v>32</v>
      </c>
      <c r="D99" s="58" t="s">
        <v>291</v>
      </c>
      <c r="E99" s="65"/>
      <c r="F99" s="69">
        <v>11450000</v>
      </c>
      <c r="G99" s="67">
        <f t="shared" si="1"/>
        <v>-583482273.80999994</v>
      </c>
    </row>
    <row r="100" spans="1:8" x14ac:dyDescent="0.2">
      <c r="A100" s="60"/>
      <c r="B100" s="57" t="s">
        <v>30</v>
      </c>
      <c r="C100" s="58" t="s">
        <v>17</v>
      </c>
      <c r="D100" s="58" t="s">
        <v>60</v>
      </c>
      <c r="E100" s="65"/>
      <c r="F100" s="69">
        <v>2500</v>
      </c>
      <c r="G100" s="67">
        <f t="shared" si="1"/>
        <v>-583484773.80999994</v>
      </c>
    </row>
    <row r="101" spans="1:8" x14ac:dyDescent="0.2">
      <c r="A101" s="60"/>
      <c r="B101" s="57" t="s">
        <v>30</v>
      </c>
      <c r="C101" s="58" t="s">
        <v>17</v>
      </c>
      <c r="D101" s="58" t="s">
        <v>292</v>
      </c>
      <c r="E101" s="65"/>
      <c r="F101" s="69">
        <v>223000</v>
      </c>
      <c r="G101" s="67">
        <f t="shared" si="1"/>
        <v>-583707773.80999994</v>
      </c>
    </row>
    <row r="102" spans="1:8" x14ac:dyDescent="0.2">
      <c r="A102" s="60">
        <v>45986</v>
      </c>
      <c r="B102" s="64" t="s">
        <v>27</v>
      </c>
      <c r="C102" s="58" t="s">
        <v>32</v>
      </c>
      <c r="D102" s="58" t="s">
        <v>60</v>
      </c>
      <c r="E102" s="66"/>
      <c r="F102" s="69">
        <v>2500</v>
      </c>
      <c r="G102" s="67">
        <f t="shared" si="1"/>
        <v>-583710273.80999994</v>
      </c>
      <c r="H102" s="74"/>
    </row>
    <row r="103" spans="1:8" x14ac:dyDescent="0.2">
      <c r="A103" s="60"/>
      <c r="B103" s="64" t="s">
        <v>27</v>
      </c>
      <c r="C103" s="58" t="s">
        <v>32</v>
      </c>
      <c r="D103" s="58" t="s">
        <v>293</v>
      </c>
      <c r="E103" s="66"/>
      <c r="F103" s="69">
        <v>2500000</v>
      </c>
      <c r="G103" s="67">
        <f t="shared" si="1"/>
        <v>-586210273.80999994</v>
      </c>
      <c r="H103" s="74"/>
    </row>
    <row r="104" spans="1:8" x14ac:dyDescent="0.2">
      <c r="A104" s="60"/>
      <c r="B104" s="64" t="s">
        <v>27</v>
      </c>
      <c r="C104" s="58" t="s">
        <v>32</v>
      </c>
      <c r="D104" s="58" t="s">
        <v>76</v>
      </c>
      <c r="E104" s="65"/>
      <c r="F104" s="69">
        <v>41625000</v>
      </c>
      <c r="G104" s="67">
        <f t="shared" si="1"/>
        <v>-627835273.80999994</v>
      </c>
      <c r="H104" s="74"/>
    </row>
    <row r="105" spans="1:8" x14ac:dyDescent="0.2">
      <c r="A105" s="60"/>
      <c r="B105" s="57" t="s">
        <v>21</v>
      </c>
      <c r="C105" s="58" t="s">
        <v>22</v>
      </c>
      <c r="D105" s="58" t="s">
        <v>67</v>
      </c>
      <c r="E105" s="65"/>
      <c r="F105" s="69">
        <v>2500</v>
      </c>
      <c r="G105" s="67">
        <f t="shared" si="1"/>
        <v>-627837773.80999994</v>
      </c>
      <c r="H105" s="74"/>
    </row>
    <row r="106" spans="1:8" x14ac:dyDescent="0.2">
      <c r="A106" s="60"/>
      <c r="B106" s="57" t="s">
        <v>21</v>
      </c>
      <c r="C106" s="58" t="s">
        <v>22</v>
      </c>
      <c r="D106" s="58" t="s">
        <v>300</v>
      </c>
      <c r="E106" s="65"/>
      <c r="F106" s="69">
        <v>1310000</v>
      </c>
      <c r="G106" s="67">
        <f t="shared" si="1"/>
        <v>-629147773.80999994</v>
      </c>
      <c r="H106" s="74"/>
    </row>
    <row r="107" spans="1:8" x14ac:dyDescent="0.2">
      <c r="A107" s="60">
        <v>45987</v>
      </c>
      <c r="B107" s="57" t="s">
        <v>51</v>
      </c>
      <c r="C107" s="58" t="s">
        <v>43</v>
      </c>
      <c r="D107" s="58" t="s">
        <v>191</v>
      </c>
      <c r="E107" s="65"/>
      <c r="F107" s="69">
        <v>2500</v>
      </c>
      <c r="G107" s="67">
        <f t="shared" si="1"/>
        <v>-629150273.80999994</v>
      </c>
      <c r="H107" s="74"/>
    </row>
    <row r="108" spans="1:8" x14ac:dyDescent="0.2">
      <c r="A108" s="60"/>
      <c r="B108" s="57" t="s">
        <v>51</v>
      </c>
      <c r="C108" s="58" t="s">
        <v>43</v>
      </c>
      <c r="D108" s="58" t="s">
        <v>68</v>
      </c>
      <c r="E108" s="65"/>
      <c r="F108" s="69">
        <v>4000000</v>
      </c>
      <c r="G108" s="67">
        <f t="shared" si="1"/>
        <v>-633150273.80999994</v>
      </c>
      <c r="H108" s="74"/>
    </row>
    <row r="109" spans="1:8" x14ac:dyDescent="0.2">
      <c r="A109" s="60">
        <v>45988</v>
      </c>
      <c r="B109" s="57" t="s">
        <v>51</v>
      </c>
      <c r="C109" s="58" t="s">
        <v>43</v>
      </c>
      <c r="D109" s="58" t="s">
        <v>74</v>
      </c>
      <c r="E109" s="65"/>
      <c r="F109" s="69">
        <v>2500</v>
      </c>
      <c r="G109" s="67">
        <f t="shared" si="1"/>
        <v>-633152773.80999994</v>
      </c>
    </row>
    <row r="110" spans="1:8" x14ac:dyDescent="0.2">
      <c r="A110" s="60"/>
      <c r="B110" s="57" t="s">
        <v>51</v>
      </c>
      <c r="C110" s="58" t="s">
        <v>43</v>
      </c>
      <c r="D110" s="58" t="s">
        <v>286</v>
      </c>
      <c r="E110" s="65"/>
      <c r="F110" s="69">
        <v>7000000</v>
      </c>
      <c r="G110" s="67">
        <f t="shared" si="1"/>
        <v>-640152773.80999994</v>
      </c>
    </row>
    <row r="111" spans="1:8" x14ac:dyDescent="0.2">
      <c r="A111" s="75"/>
      <c r="B111" s="57"/>
      <c r="C111" s="58"/>
      <c r="D111" s="58"/>
      <c r="E111" s="65"/>
      <c r="F111" s="69"/>
      <c r="G111" s="67">
        <f t="shared" si="1"/>
        <v>-640152773.80999994</v>
      </c>
    </row>
    <row r="112" spans="1:8" x14ac:dyDescent="0.2">
      <c r="A112" s="60"/>
      <c r="B112" s="57"/>
      <c r="C112" s="58"/>
      <c r="D112" s="58"/>
      <c r="E112" s="66"/>
      <c r="F112" s="69"/>
      <c r="G112" s="67">
        <f t="shared" si="1"/>
        <v>-640152773.80999994</v>
      </c>
    </row>
    <row r="113" spans="1:7" x14ac:dyDescent="0.2">
      <c r="A113" s="60"/>
      <c r="B113" s="57"/>
      <c r="C113" s="58"/>
      <c r="D113" s="58"/>
      <c r="E113" s="66"/>
      <c r="F113" s="69"/>
      <c r="G113" s="67">
        <f t="shared" si="1"/>
        <v>-640152773.80999994</v>
      </c>
    </row>
    <row r="114" spans="1:7" x14ac:dyDescent="0.2">
      <c r="A114" s="60"/>
      <c r="B114" s="57"/>
      <c r="C114" s="58"/>
      <c r="D114" s="58"/>
      <c r="E114" s="66"/>
      <c r="F114" s="69"/>
      <c r="G114" s="67">
        <f t="shared" si="1"/>
        <v>-640152773.80999994</v>
      </c>
    </row>
    <row r="115" spans="1:7" x14ac:dyDescent="0.2">
      <c r="A115" s="75"/>
      <c r="B115" s="57"/>
      <c r="C115" s="58"/>
      <c r="D115" s="58"/>
      <c r="E115" s="65"/>
      <c r="F115" s="69"/>
      <c r="G115" s="67">
        <f t="shared" si="1"/>
        <v>-640152773.80999994</v>
      </c>
    </row>
    <row r="116" spans="1:7" x14ac:dyDescent="0.2">
      <c r="A116" s="60"/>
      <c r="B116" s="57"/>
      <c r="C116" s="58"/>
      <c r="D116" s="58"/>
      <c r="E116" s="65"/>
      <c r="F116" s="69"/>
      <c r="G116" s="67">
        <f t="shared" si="1"/>
        <v>-640152773.80999994</v>
      </c>
    </row>
    <row r="117" spans="1:7" x14ac:dyDescent="0.2">
      <c r="A117" s="75"/>
      <c r="B117" s="57"/>
      <c r="C117" s="58"/>
      <c r="D117" s="58"/>
      <c r="E117" s="65"/>
      <c r="F117" s="69"/>
      <c r="G117" s="67">
        <f t="shared" si="1"/>
        <v>-640152773.80999994</v>
      </c>
    </row>
    <row r="118" spans="1:7" x14ac:dyDescent="0.2">
      <c r="A118" s="60"/>
      <c r="B118" s="57"/>
      <c r="C118" s="58"/>
      <c r="D118" s="58"/>
      <c r="E118" s="65"/>
      <c r="F118" s="69"/>
      <c r="G118" s="67">
        <f t="shared" si="1"/>
        <v>-640152773.80999994</v>
      </c>
    </row>
    <row r="119" spans="1:7" x14ac:dyDescent="0.2">
      <c r="A119" s="75"/>
      <c r="B119" s="57"/>
      <c r="C119" s="58"/>
      <c r="D119" s="58"/>
      <c r="E119" s="65"/>
      <c r="F119" s="69"/>
      <c r="G119" s="67">
        <f t="shared" si="1"/>
        <v>-640152773.80999994</v>
      </c>
    </row>
    <row r="120" spans="1:7" x14ac:dyDescent="0.2">
      <c r="A120" s="60"/>
      <c r="B120" s="57"/>
      <c r="C120" s="58"/>
      <c r="D120" s="58"/>
      <c r="E120" s="66"/>
      <c r="F120" s="69"/>
      <c r="G120" s="67">
        <f t="shared" si="1"/>
        <v>-640152773.80999994</v>
      </c>
    </row>
    <row r="121" spans="1:7" x14ac:dyDescent="0.2">
      <c r="A121" s="75"/>
      <c r="B121" s="57"/>
      <c r="C121" s="58"/>
      <c r="D121" s="58"/>
      <c r="E121" s="66"/>
      <c r="F121" s="69"/>
      <c r="G121" s="67">
        <f t="shared" si="1"/>
        <v>-640152773.80999994</v>
      </c>
    </row>
    <row r="122" spans="1:7" x14ac:dyDescent="0.2">
      <c r="A122" s="75"/>
      <c r="B122" s="64"/>
      <c r="C122" s="58"/>
      <c r="D122" s="58"/>
      <c r="E122" s="65"/>
      <c r="F122" s="69"/>
      <c r="G122" s="67">
        <f t="shared" si="1"/>
        <v>-640152773.80999994</v>
      </c>
    </row>
    <row r="123" spans="1:7" x14ac:dyDescent="0.2">
      <c r="A123" s="75"/>
      <c r="B123" s="64"/>
      <c r="C123" s="58"/>
      <c r="D123" s="58"/>
      <c r="E123" s="65"/>
      <c r="F123" s="69"/>
      <c r="G123" s="67">
        <f t="shared" si="1"/>
        <v>-640152773.80999994</v>
      </c>
    </row>
    <row r="124" spans="1:7" x14ac:dyDescent="0.2">
      <c r="A124" s="60"/>
      <c r="B124" s="64"/>
      <c r="C124" s="58"/>
      <c r="D124" s="58"/>
      <c r="E124" s="65"/>
      <c r="F124" s="69"/>
      <c r="G124" s="67">
        <f t="shared" si="1"/>
        <v>-640152773.80999994</v>
      </c>
    </row>
    <row r="125" spans="1:7" x14ac:dyDescent="0.2">
      <c r="A125" s="60"/>
      <c r="B125" s="64"/>
      <c r="C125" s="58"/>
      <c r="D125" s="58"/>
      <c r="E125" s="66"/>
      <c r="F125" s="69"/>
      <c r="G125" s="67">
        <f t="shared" si="1"/>
        <v>-640152773.80999994</v>
      </c>
    </row>
    <row r="126" spans="1:7" x14ac:dyDescent="0.2">
      <c r="A126" s="60"/>
      <c r="B126" s="64"/>
      <c r="C126" s="58"/>
      <c r="D126" s="58"/>
      <c r="E126" s="65"/>
      <c r="F126" s="69"/>
      <c r="G126" s="67">
        <f t="shared" si="1"/>
        <v>-640152773.80999994</v>
      </c>
    </row>
    <row r="127" spans="1:7" x14ac:dyDescent="0.2">
      <c r="A127" s="60"/>
      <c r="B127" s="64"/>
      <c r="C127" s="58"/>
      <c r="D127" s="58"/>
      <c r="E127" s="65"/>
      <c r="F127" s="69"/>
      <c r="G127" s="67">
        <f t="shared" si="1"/>
        <v>-640152773.80999994</v>
      </c>
    </row>
    <row r="128" spans="1:7" x14ac:dyDescent="0.2">
      <c r="A128" s="75"/>
      <c r="B128" s="64"/>
      <c r="C128" s="58"/>
      <c r="D128" s="58"/>
      <c r="E128" s="65"/>
      <c r="F128" s="69"/>
      <c r="G128" s="67">
        <f t="shared" si="1"/>
        <v>-640152773.80999994</v>
      </c>
    </row>
    <row r="129" spans="1:7" x14ac:dyDescent="0.2">
      <c r="A129" s="60"/>
      <c r="B129" s="64"/>
      <c r="C129" s="58"/>
      <c r="D129" s="58"/>
      <c r="E129" s="65"/>
      <c r="F129" s="69"/>
      <c r="G129" s="67">
        <f t="shared" si="1"/>
        <v>-640152773.80999994</v>
      </c>
    </row>
    <row r="130" spans="1:7" x14ac:dyDescent="0.2">
      <c r="A130" s="60"/>
      <c r="B130" s="57"/>
      <c r="C130" s="58"/>
      <c r="D130" s="58"/>
      <c r="E130" s="65"/>
      <c r="F130" s="69"/>
      <c r="G130" s="67">
        <f t="shared" si="1"/>
        <v>-640152773.80999994</v>
      </c>
    </row>
    <row r="131" spans="1:7" x14ac:dyDescent="0.2">
      <c r="A131" s="60"/>
      <c r="B131" s="57"/>
      <c r="C131" s="58"/>
      <c r="D131" s="58"/>
      <c r="E131" s="65"/>
      <c r="F131" s="69"/>
      <c r="G131" s="67">
        <f t="shared" si="1"/>
        <v>-640152773.80999994</v>
      </c>
    </row>
    <row r="132" spans="1:7" x14ac:dyDescent="0.2">
      <c r="A132" s="60"/>
      <c r="B132" s="57"/>
      <c r="C132" s="58"/>
      <c r="D132" s="58"/>
      <c r="E132" s="65"/>
      <c r="F132" s="69"/>
      <c r="G132" s="67">
        <f t="shared" si="1"/>
        <v>-640152773.80999994</v>
      </c>
    </row>
    <row r="133" spans="1:7" x14ac:dyDescent="0.2">
      <c r="A133" s="60"/>
      <c r="B133" s="57"/>
      <c r="C133" s="58"/>
      <c r="D133" s="58"/>
      <c r="E133" s="65"/>
      <c r="F133" s="69"/>
      <c r="G133" s="67">
        <f t="shared" si="1"/>
        <v>-640152773.80999994</v>
      </c>
    </row>
    <row r="134" spans="1:7" x14ac:dyDescent="0.2">
      <c r="A134" s="60"/>
      <c r="B134" s="64"/>
      <c r="C134" s="58"/>
      <c r="D134" s="58"/>
      <c r="E134" s="65"/>
      <c r="F134" s="69"/>
      <c r="G134" s="67">
        <f t="shared" si="1"/>
        <v>-640152773.80999994</v>
      </c>
    </row>
    <row r="135" spans="1:7" x14ac:dyDescent="0.2">
      <c r="A135" s="60"/>
      <c r="B135" s="64"/>
      <c r="C135" s="58"/>
      <c r="D135" s="58"/>
      <c r="E135" s="66"/>
      <c r="F135" s="69"/>
      <c r="G135" s="67">
        <f t="shared" si="1"/>
        <v>-640152773.80999994</v>
      </c>
    </row>
    <row r="136" spans="1:7" x14ac:dyDescent="0.2">
      <c r="A136" s="60"/>
      <c r="B136" s="64"/>
      <c r="C136" s="58"/>
      <c r="D136" s="58"/>
      <c r="E136" s="66"/>
      <c r="F136" s="69"/>
      <c r="G136" s="67">
        <f t="shared" si="1"/>
        <v>-640152773.80999994</v>
      </c>
    </row>
    <row r="137" spans="1:7" x14ac:dyDescent="0.2">
      <c r="A137" s="60"/>
      <c r="B137" s="57"/>
      <c r="C137" s="58"/>
      <c r="D137" s="58"/>
      <c r="E137" s="66"/>
      <c r="F137" s="69"/>
      <c r="G137" s="67">
        <f t="shared" si="1"/>
        <v>-640152773.80999994</v>
      </c>
    </row>
    <row r="138" spans="1:7" x14ac:dyDescent="0.2">
      <c r="A138" s="60"/>
      <c r="B138" s="57"/>
      <c r="C138" s="58"/>
      <c r="D138" s="58"/>
      <c r="E138" s="65"/>
      <c r="F138" s="69"/>
      <c r="G138" s="67">
        <f t="shared" si="1"/>
        <v>-640152773.80999994</v>
      </c>
    </row>
    <row r="139" spans="1:7" x14ac:dyDescent="0.2">
      <c r="A139" s="60"/>
      <c r="B139" s="57"/>
      <c r="C139" s="58"/>
      <c r="D139" s="58"/>
      <c r="E139" s="65"/>
      <c r="F139" s="69"/>
      <c r="G139" s="67">
        <f t="shared" si="1"/>
        <v>-640152773.80999994</v>
      </c>
    </row>
    <row r="140" spans="1:7" x14ac:dyDescent="0.2">
      <c r="A140" s="60"/>
      <c r="B140" s="57"/>
      <c r="C140" s="58"/>
      <c r="D140" s="58"/>
      <c r="E140" s="66"/>
      <c r="F140" s="69"/>
      <c r="G140" s="67">
        <f t="shared" si="1"/>
        <v>-640152773.80999994</v>
      </c>
    </row>
    <row r="141" spans="1:7" x14ac:dyDescent="0.2">
      <c r="A141" s="60"/>
      <c r="B141" s="57"/>
      <c r="C141" s="58"/>
      <c r="D141" s="58"/>
      <c r="E141" s="66"/>
      <c r="F141" s="69"/>
      <c r="G141" s="67">
        <f t="shared" si="1"/>
        <v>-640152773.80999994</v>
      </c>
    </row>
    <row r="142" spans="1:7" x14ac:dyDescent="0.2">
      <c r="A142" s="60"/>
      <c r="B142" s="57"/>
      <c r="C142" s="58"/>
      <c r="D142" s="58"/>
      <c r="E142" s="66"/>
      <c r="F142" s="69"/>
      <c r="G142" s="67">
        <f t="shared" si="1"/>
        <v>-640152773.80999994</v>
      </c>
    </row>
    <row r="143" spans="1:7" x14ac:dyDescent="0.2">
      <c r="A143" s="60"/>
      <c r="B143" s="57"/>
      <c r="C143" s="58"/>
      <c r="D143" s="58"/>
      <c r="E143" s="66"/>
      <c r="F143" s="69"/>
      <c r="G143" s="67">
        <f t="shared" ref="G143:G206" si="2">G142+E143-F143</f>
        <v>-640152773.80999994</v>
      </c>
    </row>
    <row r="144" spans="1:7" x14ac:dyDescent="0.2">
      <c r="A144" s="60"/>
      <c r="B144" s="57"/>
      <c r="C144" s="58"/>
      <c r="D144" s="58"/>
      <c r="E144" s="66"/>
      <c r="F144" s="69"/>
      <c r="G144" s="67">
        <f t="shared" si="2"/>
        <v>-640152773.80999994</v>
      </c>
    </row>
    <row r="145" spans="1:7" x14ac:dyDescent="0.2">
      <c r="A145" s="60"/>
      <c r="B145" s="57"/>
      <c r="C145" s="58"/>
      <c r="D145" s="58"/>
      <c r="E145" s="66"/>
      <c r="F145" s="69"/>
      <c r="G145" s="67">
        <f t="shared" si="2"/>
        <v>-640152773.80999994</v>
      </c>
    </row>
    <row r="146" spans="1:7" x14ac:dyDescent="0.2">
      <c r="A146" s="60"/>
      <c r="B146" s="64"/>
      <c r="C146" s="58"/>
      <c r="D146" s="58"/>
      <c r="E146" s="66"/>
      <c r="F146" s="69"/>
      <c r="G146" s="67">
        <f t="shared" si="2"/>
        <v>-640152773.80999994</v>
      </c>
    </row>
    <row r="147" spans="1:7" x14ac:dyDescent="0.2">
      <c r="A147" s="60"/>
      <c r="B147" s="64"/>
      <c r="C147" s="58"/>
      <c r="D147" s="58"/>
      <c r="E147" s="66"/>
      <c r="F147" s="69"/>
      <c r="G147" s="67">
        <f t="shared" si="2"/>
        <v>-640152773.80999994</v>
      </c>
    </row>
    <row r="148" spans="1:7" x14ac:dyDescent="0.2">
      <c r="A148" s="60"/>
      <c r="B148" s="57"/>
      <c r="C148" s="58"/>
      <c r="D148" s="58"/>
      <c r="E148" s="66"/>
      <c r="F148" s="69"/>
      <c r="G148" s="67">
        <f t="shared" si="2"/>
        <v>-640152773.80999994</v>
      </c>
    </row>
    <row r="149" spans="1:7" x14ac:dyDescent="0.2">
      <c r="A149" s="60"/>
      <c r="B149" s="57"/>
      <c r="C149" s="58"/>
      <c r="D149" s="58"/>
      <c r="E149" s="65"/>
      <c r="F149" s="69"/>
      <c r="G149" s="67">
        <f t="shared" si="2"/>
        <v>-640152773.80999994</v>
      </c>
    </row>
    <row r="150" spans="1:7" x14ac:dyDescent="0.2">
      <c r="A150" s="60"/>
      <c r="B150" s="57"/>
      <c r="C150" s="58"/>
      <c r="D150" s="58"/>
      <c r="E150" s="65"/>
      <c r="F150" s="69"/>
      <c r="G150" s="67">
        <f t="shared" si="2"/>
        <v>-640152773.80999994</v>
      </c>
    </row>
    <row r="151" spans="1:7" x14ac:dyDescent="0.2">
      <c r="A151" s="60"/>
      <c r="B151" s="57"/>
      <c r="C151" s="58"/>
      <c r="D151" s="58"/>
      <c r="E151" s="65"/>
      <c r="F151" s="69"/>
      <c r="G151" s="67">
        <f t="shared" si="2"/>
        <v>-640152773.80999994</v>
      </c>
    </row>
    <row r="152" spans="1:7" x14ac:dyDescent="0.2">
      <c r="A152" s="60"/>
      <c r="B152" s="64"/>
      <c r="C152" s="58"/>
      <c r="D152" s="58"/>
      <c r="E152" s="65"/>
      <c r="F152" s="69"/>
      <c r="G152" s="67">
        <f t="shared" si="2"/>
        <v>-640152773.80999994</v>
      </c>
    </row>
    <row r="153" spans="1:7" x14ac:dyDescent="0.2">
      <c r="A153" s="60"/>
      <c r="B153" s="64"/>
      <c r="C153" s="58"/>
      <c r="D153" s="58"/>
      <c r="E153" s="65"/>
      <c r="F153" s="69"/>
      <c r="G153" s="67">
        <f t="shared" si="2"/>
        <v>-640152773.80999994</v>
      </c>
    </row>
    <row r="154" spans="1:7" x14ac:dyDescent="0.2">
      <c r="A154" s="60"/>
      <c r="B154" s="57"/>
      <c r="C154" s="58"/>
      <c r="D154" s="58"/>
      <c r="E154" s="65"/>
      <c r="F154" s="69"/>
      <c r="G154" s="67">
        <f t="shared" si="2"/>
        <v>-640152773.80999994</v>
      </c>
    </row>
    <row r="155" spans="1:7" x14ac:dyDescent="0.2">
      <c r="A155" s="60"/>
      <c r="B155" s="57"/>
      <c r="C155" s="58"/>
      <c r="D155" s="58"/>
      <c r="E155" s="65"/>
      <c r="F155" s="69"/>
      <c r="G155" s="67">
        <f t="shared" si="2"/>
        <v>-640152773.80999994</v>
      </c>
    </row>
    <row r="156" spans="1:7" x14ac:dyDescent="0.2">
      <c r="A156" s="60"/>
      <c r="B156" s="57"/>
      <c r="C156" s="58"/>
      <c r="D156" s="58"/>
      <c r="E156" s="65"/>
      <c r="F156" s="69"/>
      <c r="G156" s="67">
        <f t="shared" si="2"/>
        <v>-640152773.80999994</v>
      </c>
    </row>
    <row r="157" spans="1:7" x14ac:dyDescent="0.2">
      <c r="A157" s="60"/>
      <c r="B157" s="57"/>
      <c r="C157" s="58"/>
      <c r="D157" s="58"/>
      <c r="E157" s="65"/>
      <c r="F157" s="69"/>
      <c r="G157" s="67">
        <f t="shared" si="2"/>
        <v>-640152773.80999994</v>
      </c>
    </row>
    <row r="158" spans="1:7" x14ac:dyDescent="0.2">
      <c r="A158" s="60"/>
      <c r="B158" s="57"/>
      <c r="C158" s="58"/>
      <c r="D158" s="58"/>
      <c r="E158" s="65"/>
      <c r="F158" s="69"/>
      <c r="G158" s="67">
        <f t="shared" si="2"/>
        <v>-640152773.80999994</v>
      </c>
    </row>
    <row r="159" spans="1:7" x14ac:dyDescent="0.2">
      <c r="A159" s="60"/>
      <c r="B159" s="57"/>
      <c r="C159" s="58"/>
      <c r="D159" s="58"/>
      <c r="E159" s="65"/>
      <c r="F159" s="69"/>
      <c r="G159" s="67">
        <f t="shared" si="2"/>
        <v>-640152773.80999994</v>
      </c>
    </row>
    <row r="160" spans="1:7" x14ac:dyDescent="0.2">
      <c r="A160" s="60"/>
      <c r="B160" s="57"/>
      <c r="C160" s="58"/>
      <c r="D160" s="58"/>
      <c r="E160" s="65"/>
      <c r="F160" s="69"/>
      <c r="G160" s="67">
        <f t="shared" si="2"/>
        <v>-640152773.80999994</v>
      </c>
    </row>
    <row r="161" spans="1:7" x14ac:dyDescent="0.2">
      <c r="A161" s="60"/>
      <c r="B161" s="57"/>
      <c r="C161" s="58"/>
      <c r="D161" s="58"/>
      <c r="E161" s="65"/>
      <c r="F161" s="69"/>
      <c r="G161" s="67">
        <f t="shared" si="2"/>
        <v>-640152773.80999994</v>
      </c>
    </row>
    <row r="162" spans="1:7" x14ac:dyDescent="0.2">
      <c r="A162" s="60"/>
      <c r="B162" s="57"/>
      <c r="C162" s="58"/>
      <c r="D162" s="58"/>
      <c r="E162" s="65"/>
      <c r="F162" s="69"/>
      <c r="G162" s="67">
        <f t="shared" si="2"/>
        <v>-640152773.80999994</v>
      </c>
    </row>
    <row r="163" spans="1:7" x14ac:dyDescent="0.2">
      <c r="A163" s="60"/>
      <c r="B163" s="57"/>
      <c r="C163" s="58"/>
      <c r="D163" s="58"/>
      <c r="E163" s="65"/>
      <c r="F163" s="69"/>
      <c r="G163" s="67">
        <f t="shared" si="2"/>
        <v>-640152773.80999994</v>
      </c>
    </row>
    <row r="164" spans="1:7" x14ac:dyDescent="0.2">
      <c r="A164" s="60"/>
      <c r="B164" s="57"/>
      <c r="C164" s="58"/>
      <c r="D164" s="58"/>
      <c r="E164" s="65"/>
      <c r="F164" s="69"/>
      <c r="G164" s="67">
        <f t="shared" si="2"/>
        <v>-640152773.80999994</v>
      </c>
    </row>
    <row r="165" spans="1:7" x14ac:dyDescent="0.2">
      <c r="A165" s="60"/>
      <c r="B165" s="57"/>
      <c r="C165" s="58"/>
      <c r="D165" s="58"/>
      <c r="E165" s="65"/>
      <c r="F165" s="69"/>
      <c r="G165" s="67">
        <f t="shared" si="2"/>
        <v>-640152773.80999994</v>
      </c>
    </row>
    <row r="166" spans="1:7" x14ac:dyDescent="0.2">
      <c r="A166" s="60"/>
      <c r="B166" s="57"/>
      <c r="C166" s="58"/>
      <c r="D166" s="58"/>
      <c r="E166" s="65"/>
      <c r="F166" s="69"/>
      <c r="G166" s="67">
        <f t="shared" si="2"/>
        <v>-640152773.80999994</v>
      </c>
    </row>
    <row r="167" spans="1:7" x14ac:dyDescent="0.2">
      <c r="A167" s="60"/>
      <c r="B167" s="57"/>
      <c r="C167" s="58"/>
      <c r="D167" s="58"/>
      <c r="E167" s="65"/>
      <c r="F167" s="69"/>
      <c r="G167" s="67">
        <f t="shared" si="2"/>
        <v>-640152773.80999994</v>
      </c>
    </row>
    <row r="168" spans="1:7" x14ac:dyDescent="0.2">
      <c r="A168" s="60"/>
      <c r="B168" s="57"/>
      <c r="C168" s="58"/>
      <c r="D168" s="58"/>
      <c r="E168" s="65"/>
      <c r="F168" s="69"/>
      <c r="G168" s="67">
        <f t="shared" si="2"/>
        <v>-640152773.80999994</v>
      </c>
    </row>
    <row r="169" spans="1:7" x14ac:dyDescent="0.2">
      <c r="A169" s="60"/>
      <c r="B169" s="64"/>
      <c r="C169" s="58"/>
      <c r="D169" s="58"/>
      <c r="E169" s="65"/>
      <c r="F169" s="69"/>
      <c r="G169" s="67">
        <f t="shared" si="2"/>
        <v>-640152773.80999994</v>
      </c>
    </row>
    <row r="170" spans="1:7" x14ac:dyDescent="0.2">
      <c r="A170" s="60"/>
      <c r="B170" s="57"/>
      <c r="C170" s="58"/>
      <c r="D170" s="58"/>
      <c r="E170" s="65"/>
      <c r="F170" s="69"/>
      <c r="G170" s="67">
        <f t="shared" si="2"/>
        <v>-640152773.80999994</v>
      </c>
    </row>
    <row r="171" spans="1:7" x14ac:dyDescent="0.2">
      <c r="A171" s="60"/>
      <c r="B171" s="57"/>
      <c r="C171" s="58"/>
      <c r="D171" s="58"/>
      <c r="E171" s="65"/>
      <c r="F171" s="69"/>
      <c r="G171" s="67">
        <f t="shared" si="2"/>
        <v>-640152773.80999994</v>
      </c>
    </row>
    <row r="172" spans="1:7" x14ac:dyDescent="0.2">
      <c r="A172" s="60"/>
      <c r="B172" s="57"/>
      <c r="C172" s="58"/>
      <c r="D172" s="58"/>
      <c r="E172" s="65"/>
      <c r="F172" s="69"/>
      <c r="G172" s="67">
        <f t="shared" si="2"/>
        <v>-640152773.80999994</v>
      </c>
    </row>
    <row r="173" spans="1:7" x14ac:dyDescent="0.2">
      <c r="A173" s="60"/>
      <c r="B173" s="57"/>
      <c r="C173" s="58"/>
      <c r="D173" s="58"/>
      <c r="E173" s="65"/>
      <c r="F173" s="69"/>
      <c r="G173" s="67">
        <f t="shared" si="2"/>
        <v>-640152773.80999994</v>
      </c>
    </row>
    <row r="174" spans="1:7" x14ac:dyDescent="0.2">
      <c r="A174" s="60"/>
      <c r="B174" s="57"/>
      <c r="C174" s="58"/>
      <c r="D174" s="58"/>
      <c r="E174" s="65"/>
      <c r="F174" s="69"/>
      <c r="G174" s="67">
        <f t="shared" si="2"/>
        <v>-640152773.80999994</v>
      </c>
    </row>
    <row r="175" spans="1:7" x14ac:dyDescent="0.2">
      <c r="A175" s="60"/>
      <c r="B175" s="57"/>
      <c r="C175" s="58"/>
      <c r="D175" s="58"/>
      <c r="E175" s="65"/>
      <c r="F175" s="69"/>
      <c r="G175" s="67">
        <f t="shared" si="2"/>
        <v>-640152773.80999994</v>
      </c>
    </row>
    <row r="176" spans="1:7" x14ac:dyDescent="0.2">
      <c r="A176" s="60"/>
      <c r="B176" s="57"/>
      <c r="C176" s="58"/>
      <c r="D176" s="58"/>
      <c r="E176" s="65"/>
      <c r="F176" s="69"/>
      <c r="G176" s="67">
        <f t="shared" si="2"/>
        <v>-640152773.80999994</v>
      </c>
    </row>
    <row r="177" spans="1:7" x14ac:dyDescent="0.2">
      <c r="A177" s="60"/>
      <c r="B177" s="57"/>
      <c r="C177" s="58"/>
      <c r="D177" s="58"/>
      <c r="E177" s="65"/>
      <c r="F177" s="69"/>
      <c r="G177" s="67">
        <f t="shared" si="2"/>
        <v>-640152773.80999994</v>
      </c>
    </row>
    <row r="178" spans="1:7" x14ac:dyDescent="0.2">
      <c r="A178" s="60"/>
      <c r="B178" s="57"/>
      <c r="C178" s="58"/>
      <c r="D178" s="58"/>
      <c r="E178" s="65"/>
      <c r="F178" s="69"/>
      <c r="G178" s="67">
        <f t="shared" si="2"/>
        <v>-640152773.80999994</v>
      </c>
    </row>
    <row r="179" spans="1:7" x14ac:dyDescent="0.2">
      <c r="A179" s="60"/>
      <c r="B179" s="57"/>
      <c r="C179" s="58"/>
      <c r="D179" s="58"/>
      <c r="E179" s="65"/>
      <c r="F179" s="69"/>
      <c r="G179" s="67">
        <f t="shared" si="2"/>
        <v>-640152773.80999994</v>
      </c>
    </row>
    <row r="180" spans="1:7" x14ac:dyDescent="0.2">
      <c r="A180" s="60"/>
      <c r="B180" s="57"/>
      <c r="C180" s="58"/>
      <c r="D180" s="58"/>
      <c r="E180" s="65"/>
      <c r="F180" s="69"/>
      <c r="G180" s="67">
        <f t="shared" si="2"/>
        <v>-640152773.80999994</v>
      </c>
    </row>
    <row r="181" spans="1:7" x14ac:dyDescent="0.2">
      <c r="A181" s="60"/>
      <c r="B181" s="57"/>
      <c r="C181" s="58"/>
      <c r="D181" s="58"/>
      <c r="E181" s="65"/>
      <c r="F181" s="69"/>
      <c r="G181" s="67">
        <f t="shared" si="2"/>
        <v>-640152773.80999994</v>
      </c>
    </row>
    <row r="182" spans="1:7" x14ac:dyDescent="0.2">
      <c r="A182" s="60"/>
      <c r="B182" s="57"/>
      <c r="C182" s="58"/>
      <c r="D182" s="58"/>
      <c r="E182" s="65"/>
      <c r="F182" s="69"/>
      <c r="G182" s="67">
        <f t="shared" si="2"/>
        <v>-640152773.80999994</v>
      </c>
    </row>
    <row r="183" spans="1:7" x14ac:dyDescent="0.2">
      <c r="A183" s="60"/>
      <c r="B183" s="57"/>
      <c r="C183" s="58"/>
      <c r="D183" s="58"/>
      <c r="E183" s="65"/>
      <c r="F183" s="69"/>
      <c r="G183" s="67">
        <f t="shared" si="2"/>
        <v>-640152773.80999994</v>
      </c>
    </row>
    <row r="184" spans="1:7" x14ac:dyDescent="0.2">
      <c r="A184" s="60"/>
      <c r="B184" s="64"/>
      <c r="C184" s="58"/>
      <c r="D184" s="58"/>
      <c r="E184" s="65"/>
      <c r="F184" s="69"/>
      <c r="G184" s="67">
        <f t="shared" si="2"/>
        <v>-640152773.80999994</v>
      </c>
    </row>
    <row r="185" spans="1:7" x14ac:dyDescent="0.2">
      <c r="A185" s="60"/>
      <c r="B185" s="64"/>
      <c r="C185" s="58"/>
      <c r="D185" s="58"/>
      <c r="E185" s="65"/>
      <c r="F185" s="69"/>
      <c r="G185" s="67">
        <f t="shared" si="2"/>
        <v>-640152773.80999994</v>
      </c>
    </row>
    <row r="186" spans="1:7" x14ac:dyDescent="0.2">
      <c r="A186" s="60"/>
      <c r="B186" s="64"/>
      <c r="C186" s="58"/>
      <c r="D186" s="58"/>
      <c r="E186" s="65"/>
      <c r="F186" s="69"/>
      <c r="G186" s="67">
        <f t="shared" si="2"/>
        <v>-640152773.80999994</v>
      </c>
    </row>
    <row r="187" spans="1:7" x14ac:dyDescent="0.2">
      <c r="A187" s="60"/>
      <c r="B187" s="57"/>
      <c r="C187" s="58"/>
      <c r="D187" s="58"/>
      <c r="E187" s="65"/>
      <c r="F187" s="69"/>
      <c r="G187" s="67">
        <f t="shared" si="2"/>
        <v>-640152773.80999994</v>
      </c>
    </row>
    <row r="188" spans="1:7" x14ac:dyDescent="0.2">
      <c r="A188" s="75"/>
      <c r="B188" s="57"/>
      <c r="C188" s="58"/>
      <c r="D188" s="58"/>
      <c r="E188" s="65"/>
      <c r="F188" s="69"/>
      <c r="G188" s="67">
        <f t="shared" si="2"/>
        <v>-640152773.80999994</v>
      </c>
    </row>
    <row r="189" spans="1:7" x14ac:dyDescent="0.2">
      <c r="A189" s="60"/>
      <c r="B189" s="64"/>
      <c r="C189" s="58"/>
      <c r="D189" s="58"/>
      <c r="E189" s="65"/>
      <c r="F189" s="69"/>
      <c r="G189" s="67">
        <f t="shared" si="2"/>
        <v>-640152773.80999994</v>
      </c>
    </row>
    <row r="190" spans="1:7" x14ac:dyDescent="0.2">
      <c r="A190" s="60"/>
      <c r="B190" s="57"/>
      <c r="C190" s="58"/>
      <c r="D190" s="58"/>
      <c r="E190" s="66"/>
      <c r="F190" s="69"/>
      <c r="G190" s="67">
        <f t="shared" si="2"/>
        <v>-640152773.80999994</v>
      </c>
    </row>
    <row r="191" spans="1:7" x14ac:dyDescent="0.2">
      <c r="A191" s="60"/>
      <c r="B191" s="57"/>
      <c r="C191" s="58"/>
      <c r="D191" s="58"/>
      <c r="E191" s="65"/>
      <c r="F191" s="69"/>
      <c r="G191" s="67">
        <f t="shared" si="2"/>
        <v>-640152773.80999994</v>
      </c>
    </row>
    <row r="192" spans="1:7" x14ac:dyDescent="0.2">
      <c r="A192" s="60"/>
      <c r="B192" s="64"/>
      <c r="C192" s="58"/>
      <c r="D192" s="58"/>
      <c r="E192" s="65"/>
      <c r="F192" s="69"/>
      <c r="G192" s="67">
        <f t="shared" si="2"/>
        <v>-640152773.80999994</v>
      </c>
    </row>
    <row r="193" spans="1:7" x14ac:dyDescent="0.2">
      <c r="A193" s="60"/>
      <c r="B193" s="64"/>
      <c r="C193" s="58"/>
      <c r="D193" s="58"/>
      <c r="E193" s="65"/>
      <c r="F193" s="69"/>
      <c r="G193" s="67">
        <f t="shared" si="2"/>
        <v>-640152773.80999994</v>
      </c>
    </row>
    <row r="194" spans="1:7" x14ac:dyDescent="0.2">
      <c r="A194" s="75"/>
      <c r="B194" s="57"/>
      <c r="C194" s="58"/>
      <c r="D194" s="58"/>
      <c r="E194" s="65"/>
      <c r="F194" s="69"/>
      <c r="G194" s="67">
        <f t="shared" si="2"/>
        <v>-640152773.80999994</v>
      </c>
    </row>
    <row r="195" spans="1:7" x14ac:dyDescent="0.2">
      <c r="A195" s="60"/>
      <c r="B195" s="57"/>
      <c r="C195" s="58"/>
      <c r="D195" s="58"/>
      <c r="E195" s="65"/>
      <c r="F195" s="69"/>
      <c r="G195" s="67">
        <f t="shared" si="2"/>
        <v>-640152773.80999994</v>
      </c>
    </row>
    <row r="196" spans="1:7" x14ac:dyDescent="0.2">
      <c r="A196" s="75"/>
      <c r="B196" s="57"/>
      <c r="C196" s="58"/>
      <c r="D196" s="58"/>
      <c r="E196" s="65"/>
      <c r="F196" s="69"/>
      <c r="G196" s="67">
        <f t="shared" si="2"/>
        <v>-640152773.80999994</v>
      </c>
    </row>
    <row r="197" spans="1:7" x14ac:dyDescent="0.2">
      <c r="A197" s="60"/>
      <c r="B197" s="57"/>
      <c r="C197" s="58"/>
      <c r="D197" s="58"/>
      <c r="E197" s="65"/>
      <c r="F197" s="69"/>
      <c r="G197" s="67">
        <f t="shared" si="2"/>
        <v>-640152773.80999994</v>
      </c>
    </row>
    <row r="198" spans="1:7" x14ac:dyDescent="0.2">
      <c r="A198" s="75"/>
      <c r="B198" s="57"/>
      <c r="C198" s="58"/>
      <c r="D198" s="58"/>
      <c r="E198" s="65"/>
      <c r="F198" s="69"/>
      <c r="G198" s="67">
        <f t="shared" si="2"/>
        <v>-640152773.80999994</v>
      </c>
    </row>
    <row r="199" spans="1:7" x14ac:dyDescent="0.2">
      <c r="A199" s="75"/>
      <c r="B199" s="57"/>
      <c r="C199" s="58"/>
      <c r="D199" s="58"/>
      <c r="E199" s="66"/>
      <c r="F199" s="69"/>
      <c r="G199" s="67">
        <f t="shared" si="2"/>
        <v>-640152773.80999994</v>
      </c>
    </row>
    <row r="200" spans="1:7" x14ac:dyDescent="0.2">
      <c r="A200" s="75"/>
      <c r="B200" s="57"/>
      <c r="C200" s="58"/>
      <c r="D200" s="58"/>
      <c r="E200" s="65"/>
      <c r="F200" s="69"/>
      <c r="G200" s="67">
        <f t="shared" si="2"/>
        <v>-640152773.80999994</v>
      </c>
    </row>
    <row r="201" spans="1:7" x14ac:dyDescent="0.2">
      <c r="A201" s="75"/>
      <c r="B201" s="57"/>
      <c r="C201" s="58"/>
      <c r="D201" s="58"/>
      <c r="E201" s="65"/>
      <c r="F201" s="69"/>
      <c r="G201" s="67">
        <f t="shared" si="2"/>
        <v>-640152773.80999994</v>
      </c>
    </row>
    <row r="202" spans="1:7" x14ac:dyDescent="0.2">
      <c r="A202" s="75"/>
      <c r="B202" s="57"/>
      <c r="C202" s="58"/>
      <c r="D202" s="58"/>
      <c r="E202" s="65"/>
      <c r="F202" s="69"/>
      <c r="G202" s="67">
        <f t="shared" si="2"/>
        <v>-640152773.80999994</v>
      </c>
    </row>
    <row r="203" spans="1:7" x14ac:dyDescent="0.2">
      <c r="A203" s="75"/>
      <c r="B203" s="64"/>
      <c r="C203" s="58"/>
      <c r="D203" s="58"/>
      <c r="E203" s="65"/>
      <c r="F203" s="69"/>
      <c r="G203" s="67">
        <f t="shared" si="2"/>
        <v>-640152773.80999994</v>
      </c>
    </row>
    <row r="204" spans="1:7" x14ac:dyDescent="0.2">
      <c r="A204" s="75"/>
      <c r="B204" s="57"/>
      <c r="C204" s="58"/>
      <c r="D204" s="58"/>
      <c r="E204" s="65"/>
      <c r="F204" s="69"/>
      <c r="G204" s="67">
        <f t="shared" si="2"/>
        <v>-640152773.80999994</v>
      </c>
    </row>
    <row r="205" spans="1:7" x14ac:dyDescent="0.2">
      <c r="A205" s="75"/>
      <c r="B205" s="57"/>
      <c r="C205" s="58"/>
      <c r="D205" s="58"/>
      <c r="E205" s="65"/>
      <c r="F205" s="69"/>
      <c r="G205" s="67">
        <f t="shared" si="2"/>
        <v>-640152773.80999994</v>
      </c>
    </row>
    <row r="206" spans="1:7" x14ac:dyDescent="0.2">
      <c r="A206" s="75"/>
      <c r="B206" s="57"/>
      <c r="C206" s="58"/>
      <c r="D206" s="58"/>
      <c r="E206" s="65"/>
      <c r="F206" s="69"/>
      <c r="G206" s="67">
        <f t="shared" si="2"/>
        <v>-640152773.80999994</v>
      </c>
    </row>
    <row r="207" spans="1:7" x14ac:dyDescent="0.2">
      <c r="A207" s="60"/>
      <c r="B207" s="57"/>
      <c r="C207" s="58"/>
      <c r="D207" s="58"/>
      <c r="E207" s="65"/>
      <c r="F207" s="69"/>
      <c r="G207" s="67">
        <f t="shared" ref="G207:G219" si="3">G206+E207-F207</f>
        <v>-640152773.80999994</v>
      </c>
    </row>
    <row r="208" spans="1:7" x14ac:dyDescent="0.2">
      <c r="A208" s="75"/>
      <c r="B208" s="57"/>
      <c r="C208" s="58"/>
      <c r="D208" s="58"/>
      <c r="E208" s="65"/>
      <c r="F208" s="69"/>
      <c r="G208" s="67">
        <f t="shared" si="3"/>
        <v>-640152773.80999994</v>
      </c>
    </row>
    <row r="209" spans="1:8" x14ac:dyDescent="0.2">
      <c r="A209" s="60"/>
      <c r="B209" s="57"/>
      <c r="C209" s="58"/>
      <c r="D209" s="58"/>
      <c r="E209" s="65"/>
      <c r="F209" s="69"/>
      <c r="G209" s="67">
        <f t="shared" si="3"/>
        <v>-640152773.80999994</v>
      </c>
    </row>
    <row r="210" spans="1:8" x14ac:dyDescent="0.2">
      <c r="A210" s="75"/>
      <c r="B210" s="57"/>
      <c r="C210" s="58"/>
      <c r="D210" s="58"/>
      <c r="E210" s="65"/>
      <c r="F210" s="69"/>
      <c r="G210" s="67">
        <f t="shared" si="3"/>
        <v>-640152773.80999994</v>
      </c>
    </row>
    <row r="211" spans="1:8" x14ac:dyDescent="0.2">
      <c r="A211" s="60"/>
      <c r="B211" s="64"/>
      <c r="C211" s="58"/>
      <c r="D211" s="58"/>
      <c r="E211" s="65"/>
      <c r="F211" s="69"/>
      <c r="G211" s="67">
        <f t="shared" si="3"/>
        <v>-640152773.80999994</v>
      </c>
    </row>
    <row r="212" spans="1:8" x14ac:dyDescent="0.2">
      <c r="A212" s="60"/>
      <c r="B212" s="57"/>
      <c r="C212" s="58"/>
      <c r="D212" s="58"/>
      <c r="E212" s="65"/>
      <c r="F212" s="69"/>
      <c r="G212" s="67">
        <f t="shared" si="3"/>
        <v>-640152773.80999994</v>
      </c>
    </row>
    <row r="213" spans="1:8" x14ac:dyDescent="0.2">
      <c r="A213" s="60"/>
      <c r="B213" s="57"/>
      <c r="C213" s="58"/>
      <c r="D213" s="58"/>
      <c r="E213" s="65"/>
      <c r="F213" s="69"/>
      <c r="G213" s="67">
        <f t="shared" si="3"/>
        <v>-640152773.80999994</v>
      </c>
    </row>
    <row r="214" spans="1:8" x14ac:dyDescent="0.2">
      <c r="A214" s="60"/>
      <c r="B214" s="57"/>
      <c r="C214" s="58"/>
      <c r="D214" s="58"/>
      <c r="E214" s="65"/>
      <c r="F214" s="69"/>
      <c r="G214" s="67">
        <f t="shared" si="3"/>
        <v>-640152773.80999994</v>
      </c>
    </row>
    <row r="215" spans="1:8" x14ac:dyDescent="0.2">
      <c r="A215" s="60"/>
      <c r="B215" s="57"/>
      <c r="C215" s="58"/>
      <c r="D215" s="58"/>
      <c r="E215" s="65"/>
      <c r="F215" s="69"/>
      <c r="G215" s="67">
        <f t="shared" si="3"/>
        <v>-640152773.80999994</v>
      </c>
    </row>
    <row r="216" spans="1:8" x14ac:dyDescent="0.2">
      <c r="A216" s="75"/>
      <c r="B216" s="57"/>
      <c r="C216" s="58"/>
      <c r="D216" s="58"/>
      <c r="E216" s="65"/>
      <c r="F216" s="69"/>
      <c r="G216" s="67">
        <f t="shared" si="3"/>
        <v>-640152773.80999994</v>
      </c>
      <c r="H216" s="77"/>
    </row>
    <row r="217" spans="1:8" x14ac:dyDescent="0.2">
      <c r="A217" s="60"/>
      <c r="B217" s="57"/>
      <c r="C217" s="58"/>
      <c r="D217" s="58"/>
      <c r="E217" s="65"/>
      <c r="F217" s="69"/>
      <c r="G217" s="67">
        <f t="shared" si="3"/>
        <v>-640152773.80999994</v>
      </c>
    </row>
    <row r="218" spans="1:8" x14ac:dyDescent="0.2">
      <c r="A218" s="75"/>
      <c r="B218" s="57"/>
      <c r="C218" s="58"/>
      <c r="D218" s="58"/>
      <c r="E218" s="65"/>
      <c r="F218" s="69"/>
      <c r="G218" s="67">
        <f t="shared" si="3"/>
        <v>-640152773.80999994</v>
      </c>
    </row>
    <row r="219" spans="1:8" x14ac:dyDescent="0.2">
      <c r="A219" s="75"/>
      <c r="B219" s="57"/>
      <c r="C219" s="58"/>
      <c r="D219" s="58"/>
      <c r="E219" s="65"/>
      <c r="F219" s="69"/>
      <c r="G219" s="67">
        <f t="shared" si="3"/>
        <v>-640152773.80999994</v>
      </c>
    </row>
    <row r="220" spans="1:8" x14ac:dyDescent="0.2">
      <c r="A220" s="78"/>
      <c r="B220" s="57"/>
      <c r="C220" s="58"/>
      <c r="D220" s="58"/>
      <c r="E220" s="66"/>
      <c r="F220" s="69"/>
      <c r="G220" s="67"/>
    </row>
    <row r="221" spans="1:8" x14ac:dyDescent="0.2">
      <c r="A221" s="78"/>
      <c r="B221" s="57"/>
      <c r="C221" s="58"/>
      <c r="D221" s="58"/>
      <c r="E221" s="66"/>
      <c r="F221" s="69"/>
      <c r="G221" s="67"/>
    </row>
    <row r="222" spans="1:8" x14ac:dyDescent="0.2">
      <c r="A222" s="58"/>
      <c r="B222" s="57"/>
      <c r="C222" s="58"/>
      <c r="D222" s="58"/>
      <c r="E222" s="65"/>
      <c r="F222" s="69"/>
      <c r="G222" s="67"/>
    </row>
    <row r="223" spans="1:8" x14ac:dyDescent="0.2">
      <c r="A223" s="78"/>
      <c r="B223" s="57"/>
      <c r="C223" s="58"/>
      <c r="D223" s="58"/>
      <c r="E223" s="65"/>
      <c r="F223" s="69"/>
      <c r="G223" s="67"/>
    </row>
    <row r="224" spans="1:8" x14ac:dyDescent="0.2">
      <c r="A224" s="79"/>
      <c r="B224" s="79"/>
      <c r="C224" s="79"/>
      <c r="D224" s="79"/>
      <c r="E224" s="80">
        <f>SUM(E5:E223)</f>
        <v>0</v>
      </c>
      <c r="F224" s="81">
        <f>SUM(F5:F223)</f>
        <v>647071734</v>
      </c>
      <c r="G224" s="80">
        <f>G219</f>
        <v>-640152773.80999994</v>
      </c>
      <c r="H224" s="77"/>
    </row>
    <row r="225" spans="1:7" x14ac:dyDescent="0.2">
      <c r="F225" s="82"/>
    </row>
    <row r="226" spans="1:7" x14ac:dyDescent="0.2">
      <c r="F226" s="77"/>
    </row>
    <row r="227" spans="1:7" x14ac:dyDescent="0.2">
      <c r="F227" s="77"/>
    </row>
    <row r="228" spans="1:7" x14ac:dyDescent="0.2">
      <c r="A228" s="83"/>
      <c r="B228" s="83"/>
      <c r="C228" s="83"/>
      <c r="D228" s="83"/>
      <c r="E228" s="83"/>
      <c r="F228" s="83"/>
      <c r="G228" s="83"/>
    </row>
    <row r="229" spans="1:7" x14ac:dyDescent="0.2">
      <c r="A229" s="83"/>
      <c r="B229" s="83"/>
      <c r="C229" s="83"/>
      <c r="D229" s="83"/>
      <c r="E229" s="83"/>
      <c r="F229" s="83"/>
      <c r="G229" s="83"/>
    </row>
    <row r="230" spans="1:7" x14ac:dyDescent="0.2">
      <c r="A230" s="83"/>
      <c r="B230" s="83"/>
      <c r="C230" s="83"/>
      <c r="D230" s="83"/>
      <c r="E230" s="83"/>
      <c r="F230" s="83"/>
      <c r="G230" s="83"/>
    </row>
  </sheetData>
  <autoFilter ref="B1:B224" xr:uid="{00000000-0009-0000-0000-000001000000}"/>
  <pageMargins left="0.19685039370078741" right="0.19685039370078741" top="0.19685039370078741" bottom="0.19685039370078741" header="0.19685039370078741" footer="0.19685039370078741"/>
  <pageSetup paperSize="9" scale="80" fitToHeight="0" orientation="portrait" horizontalDpi="360" verticalDpi="360" r:id="rId1"/>
  <rowBreaks count="1" manualBreakCount="1">
    <brk id="42" max="16383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862B-DFD7-4CF1-875B-240133C9E9AC}">
  <dimension ref="A1:K240"/>
  <sheetViews>
    <sheetView tabSelected="1" workbookViewId="0">
      <pane ySplit="1500" activePane="bottomLeft"/>
      <selection activeCell="I3" sqref="I3:J3"/>
      <selection pane="bottomLeft" activeCell="E230" sqref="A1:J230"/>
    </sheetView>
  </sheetViews>
  <sheetFormatPr baseColWidth="10" defaultColWidth="8.83203125" defaultRowHeight="15" x14ac:dyDescent="0.2"/>
  <cols>
    <col min="1" max="1" width="12.83203125" customWidth="1"/>
    <col min="2" max="2" width="8.83203125" customWidth="1"/>
    <col min="3" max="3" width="22.33203125" customWidth="1"/>
    <col min="4" max="4" width="30.5" customWidth="1"/>
    <col min="5" max="5" width="15.6640625" customWidth="1"/>
    <col min="6" max="6" width="15.5" customWidth="1"/>
    <col min="7" max="7" width="19.33203125" customWidth="1"/>
    <col min="8" max="8" width="20.5" customWidth="1"/>
    <col min="9" max="9" width="12.6640625" customWidth="1"/>
    <col min="10" max="10" width="44.1640625" bestFit="1" customWidth="1"/>
    <col min="11" max="11" width="15.33203125" bestFit="1" customWidth="1"/>
  </cols>
  <sheetData>
    <row r="1" spans="1:10" ht="19" x14ac:dyDescent="0.25">
      <c r="A1" s="14" t="s">
        <v>53</v>
      </c>
      <c r="B1" s="9"/>
    </row>
    <row r="2" spans="1:10" ht="19" x14ac:dyDescent="0.25">
      <c r="A2" s="14" t="s">
        <v>94</v>
      </c>
      <c r="B2" s="9"/>
    </row>
    <row r="3" spans="1:10" x14ac:dyDescent="0.2">
      <c r="A3" s="1"/>
      <c r="I3" s="23" t="s">
        <v>50</v>
      </c>
      <c r="J3" s="18" t="s">
        <v>49</v>
      </c>
    </row>
    <row r="4" spans="1:10" ht="16" x14ac:dyDescent="0.2">
      <c r="A4" s="15" t="s">
        <v>6</v>
      </c>
      <c r="B4" s="15" t="s">
        <v>7</v>
      </c>
      <c r="C4" s="15"/>
      <c r="D4" s="15" t="s">
        <v>5</v>
      </c>
      <c r="E4" s="15" t="s">
        <v>1</v>
      </c>
      <c r="F4" s="15" t="s">
        <v>2</v>
      </c>
      <c r="G4" s="15" t="s">
        <v>3</v>
      </c>
      <c r="I4" s="23" t="s">
        <v>51</v>
      </c>
      <c r="J4" s="18" t="s">
        <v>43</v>
      </c>
    </row>
    <row r="5" spans="1:10" ht="16" x14ac:dyDescent="0.2">
      <c r="A5" s="52">
        <v>45962</v>
      </c>
      <c r="B5" s="11"/>
      <c r="C5" s="10"/>
      <c r="D5" s="10" t="s">
        <v>95</v>
      </c>
      <c r="E5" s="10"/>
      <c r="F5" s="12"/>
      <c r="G5" s="54">
        <v>15384164</v>
      </c>
      <c r="H5" s="3"/>
      <c r="I5" s="17" t="s">
        <v>27</v>
      </c>
      <c r="J5" s="18" t="s">
        <v>32</v>
      </c>
    </row>
    <row r="6" spans="1:10" x14ac:dyDescent="0.2">
      <c r="A6" s="16"/>
      <c r="B6" s="17" t="s">
        <v>27</v>
      </c>
      <c r="C6" s="18" t="s">
        <v>32</v>
      </c>
      <c r="D6" s="18" t="s">
        <v>96</v>
      </c>
      <c r="E6" s="33"/>
      <c r="F6" s="20">
        <v>170000</v>
      </c>
      <c r="G6" s="21">
        <f>G5+E6-F6</f>
        <v>15214164</v>
      </c>
      <c r="H6" s="3"/>
      <c r="I6" s="23" t="s">
        <v>21</v>
      </c>
      <c r="J6" s="18" t="s">
        <v>22</v>
      </c>
    </row>
    <row r="7" spans="1:10" x14ac:dyDescent="0.2">
      <c r="A7" s="22"/>
      <c r="B7" s="17" t="s">
        <v>27</v>
      </c>
      <c r="C7" s="18" t="s">
        <v>32</v>
      </c>
      <c r="D7" s="18" t="s">
        <v>97</v>
      </c>
      <c r="E7" s="18"/>
      <c r="F7" s="20">
        <v>470000</v>
      </c>
      <c r="G7" s="21">
        <f t="shared" ref="G7:G30" si="0">G6+E7-F7</f>
        <v>14744164</v>
      </c>
      <c r="H7" s="3"/>
      <c r="I7" s="23" t="s">
        <v>34</v>
      </c>
      <c r="J7" s="18" t="s">
        <v>33</v>
      </c>
    </row>
    <row r="8" spans="1:10" x14ac:dyDescent="0.2">
      <c r="A8" s="22"/>
      <c r="B8" s="17" t="s">
        <v>27</v>
      </c>
      <c r="C8" s="18" t="s">
        <v>32</v>
      </c>
      <c r="D8" s="18" t="s">
        <v>98</v>
      </c>
      <c r="E8" s="33"/>
      <c r="F8" s="20">
        <v>440000</v>
      </c>
      <c r="G8" s="21">
        <f t="shared" si="0"/>
        <v>14304164</v>
      </c>
      <c r="H8" s="3"/>
      <c r="I8" s="23" t="s">
        <v>39</v>
      </c>
      <c r="J8" s="18" t="s">
        <v>38</v>
      </c>
    </row>
    <row r="9" spans="1:10" x14ac:dyDescent="0.2">
      <c r="A9" s="22"/>
      <c r="B9" s="17" t="s">
        <v>27</v>
      </c>
      <c r="C9" s="18" t="s">
        <v>32</v>
      </c>
      <c r="D9" s="18" t="s">
        <v>99</v>
      </c>
      <c r="E9" s="19"/>
      <c r="F9" s="20">
        <v>600000</v>
      </c>
      <c r="G9" s="21">
        <f t="shared" si="0"/>
        <v>13704164</v>
      </c>
      <c r="H9" s="3"/>
      <c r="I9" s="23" t="s">
        <v>9</v>
      </c>
      <c r="J9" s="18" t="s">
        <v>23</v>
      </c>
    </row>
    <row r="10" spans="1:10" x14ac:dyDescent="0.2">
      <c r="A10" s="16"/>
      <c r="B10" s="17" t="s">
        <v>27</v>
      </c>
      <c r="C10" s="18" t="s">
        <v>32</v>
      </c>
      <c r="D10" s="18" t="s">
        <v>100</v>
      </c>
      <c r="E10" s="19"/>
      <c r="F10" s="20">
        <v>50000</v>
      </c>
      <c r="G10" s="21">
        <f t="shared" si="0"/>
        <v>13654164</v>
      </c>
      <c r="H10" s="3"/>
      <c r="I10" s="23" t="s">
        <v>44</v>
      </c>
      <c r="J10" s="18" t="s">
        <v>10</v>
      </c>
    </row>
    <row r="11" spans="1:10" x14ac:dyDescent="0.2">
      <c r="A11" s="16"/>
      <c r="B11" s="17" t="s">
        <v>27</v>
      </c>
      <c r="C11" s="18" t="s">
        <v>32</v>
      </c>
      <c r="D11" s="18" t="s">
        <v>101</v>
      </c>
      <c r="E11" s="33"/>
      <c r="F11" s="20">
        <v>45000</v>
      </c>
      <c r="G11" s="21">
        <f t="shared" si="0"/>
        <v>13609164</v>
      </c>
      <c r="H11" s="3"/>
      <c r="I11" s="23" t="s">
        <v>28</v>
      </c>
      <c r="J11" s="18" t="s">
        <v>11</v>
      </c>
    </row>
    <row r="12" spans="1:10" x14ac:dyDescent="0.2">
      <c r="A12" s="16"/>
      <c r="B12" s="17" t="s">
        <v>27</v>
      </c>
      <c r="C12" s="18" t="s">
        <v>32</v>
      </c>
      <c r="D12" s="18" t="s">
        <v>102</v>
      </c>
      <c r="E12" s="19"/>
      <c r="F12" s="20">
        <v>21000</v>
      </c>
      <c r="G12" s="21">
        <f t="shared" si="0"/>
        <v>13588164</v>
      </c>
      <c r="H12" s="3"/>
      <c r="I12" s="23" t="s">
        <v>37</v>
      </c>
      <c r="J12" s="18" t="s">
        <v>12</v>
      </c>
    </row>
    <row r="13" spans="1:10" x14ac:dyDescent="0.2">
      <c r="A13" s="16"/>
      <c r="B13" s="17" t="s">
        <v>27</v>
      </c>
      <c r="C13" s="18" t="s">
        <v>32</v>
      </c>
      <c r="D13" s="18" t="s">
        <v>103</v>
      </c>
      <c r="E13" s="33"/>
      <c r="F13" s="20">
        <v>65000</v>
      </c>
      <c r="G13" s="21">
        <f t="shared" ref="G13:G22" si="1">G12+E13-F13</f>
        <v>13523164</v>
      </c>
      <c r="H13" s="3"/>
      <c r="I13" s="23" t="s">
        <v>45</v>
      </c>
      <c r="J13" s="18" t="s">
        <v>13</v>
      </c>
    </row>
    <row r="14" spans="1:10" x14ac:dyDescent="0.2">
      <c r="A14" s="22"/>
      <c r="B14" s="23" t="s">
        <v>28</v>
      </c>
      <c r="C14" s="18" t="s">
        <v>11</v>
      </c>
      <c r="D14" s="18" t="s">
        <v>104</v>
      </c>
      <c r="E14" s="18"/>
      <c r="F14" s="20">
        <v>500000</v>
      </c>
      <c r="G14" s="21">
        <f t="shared" si="1"/>
        <v>13023164</v>
      </c>
      <c r="H14" s="3"/>
      <c r="I14" s="23" t="s">
        <v>46</v>
      </c>
      <c r="J14" s="18" t="s">
        <v>14</v>
      </c>
    </row>
    <row r="15" spans="1:10" x14ac:dyDescent="0.2">
      <c r="A15" s="16"/>
      <c r="B15" s="23" t="s">
        <v>31</v>
      </c>
      <c r="C15" s="18" t="s">
        <v>15</v>
      </c>
      <c r="D15" s="18" t="s">
        <v>105</v>
      </c>
      <c r="E15" s="18"/>
      <c r="F15" s="20">
        <v>150000</v>
      </c>
      <c r="G15" s="21">
        <f t="shared" si="1"/>
        <v>12873164</v>
      </c>
      <c r="H15" s="3"/>
      <c r="I15" s="23" t="s">
        <v>31</v>
      </c>
      <c r="J15" s="18" t="s">
        <v>15</v>
      </c>
    </row>
    <row r="16" spans="1:10" x14ac:dyDescent="0.2">
      <c r="A16" s="16"/>
      <c r="B16" s="23" t="s">
        <v>31</v>
      </c>
      <c r="C16" s="18" t="s">
        <v>15</v>
      </c>
      <c r="D16" s="49" t="s">
        <v>106</v>
      </c>
      <c r="E16" s="18"/>
      <c r="F16" s="20">
        <v>200000</v>
      </c>
      <c r="G16" s="21">
        <f t="shared" si="1"/>
        <v>12673164</v>
      </c>
      <c r="H16" s="3"/>
      <c r="I16" s="23" t="s">
        <v>29</v>
      </c>
      <c r="J16" s="18" t="s">
        <v>16</v>
      </c>
    </row>
    <row r="17" spans="1:10" x14ac:dyDescent="0.2">
      <c r="A17" s="16"/>
      <c r="B17" s="23" t="s">
        <v>31</v>
      </c>
      <c r="C17" s="18" t="s">
        <v>15</v>
      </c>
      <c r="D17" s="18" t="s">
        <v>107</v>
      </c>
      <c r="E17" s="18"/>
      <c r="F17" s="20">
        <v>200000</v>
      </c>
      <c r="G17" s="21">
        <f t="shared" si="1"/>
        <v>12473164</v>
      </c>
      <c r="H17" s="3"/>
      <c r="I17" s="23" t="s">
        <v>30</v>
      </c>
      <c r="J17" s="18" t="s">
        <v>17</v>
      </c>
    </row>
    <row r="18" spans="1:10" x14ac:dyDescent="0.2">
      <c r="A18" s="16"/>
      <c r="B18" s="23" t="s">
        <v>29</v>
      </c>
      <c r="C18" s="18" t="s">
        <v>16</v>
      </c>
      <c r="D18" s="18" t="s">
        <v>108</v>
      </c>
      <c r="E18" s="19"/>
      <c r="F18" s="20">
        <v>300000</v>
      </c>
      <c r="G18" s="21">
        <f t="shared" si="1"/>
        <v>12173164</v>
      </c>
      <c r="H18" s="3"/>
      <c r="I18" s="23" t="s">
        <v>24</v>
      </c>
      <c r="J18" s="18" t="s">
        <v>18</v>
      </c>
    </row>
    <row r="19" spans="1:10" x14ac:dyDescent="0.2">
      <c r="A19" s="16"/>
      <c r="B19" s="23" t="s">
        <v>48</v>
      </c>
      <c r="C19" s="18" t="s">
        <v>20</v>
      </c>
      <c r="D19" s="18" t="s">
        <v>109</v>
      </c>
      <c r="E19" s="18"/>
      <c r="F19" s="20">
        <v>150000</v>
      </c>
      <c r="G19" s="21">
        <f t="shared" si="1"/>
        <v>12023164</v>
      </c>
      <c r="H19" s="3"/>
      <c r="I19" s="23" t="s">
        <v>47</v>
      </c>
      <c r="J19" s="18" t="s">
        <v>19</v>
      </c>
    </row>
    <row r="20" spans="1:10" x14ac:dyDescent="0.2">
      <c r="A20" s="16"/>
      <c r="B20" s="23" t="s">
        <v>40</v>
      </c>
      <c r="C20" s="18" t="s">
        <v>35</v>
      </c>
      <c r="D20" s="18" t="s">
        <v>110</v>
      </c>
      <c r="E20" s="19"/>
      <c r="F20" s="20">
        <v>300000</v>
      </c>
      <c r="G20" s="21">
        <f t="shared" si="1"/>
        <v>11723164</v>
      </c>
      <c r="H20" s="3"/>
      <c r="I20" s="23" t="s">
        <v>26</v>
      </c>
      <c r="J20" s="18" t="s">
        <v>25</v>
      </c>
    </row>
    <row r="21" spans="1:10" x14ac:dyDescent="0.2">
      <c r="A21" s="16">
        <v>45964</v>
      </c>
      <c r="B21" s="23"/>
      <c r="C21" s="18"/>
      <c r="D21" s="18" t="s">
        <v>62</v>
      </c>
      <c r="E21" s="19">
        <v>9830764</v>
      </c>
      <c r="F21" s="20"/>
      <c r="G21" s="21">
        <f t="shared" si="1"/>
        <v>21553928</v>
      </c>
      <c r="H21" s="3"/>
      <c r="I21" s="23" t="s">
        <v>40</v>
      </c>
      <c r="J21" s="18" t="s">
        <v>35</v>
      </c>
    </row>
    <row r="22" spans="1:10" x14ac:dyDescent="0.2">
      <c r="A22" s="16"/>
      <c r="B22" s="23" t="s">
        <v>50</v>
      </c>
      <c r="C22" s="18" t="s">
        <v>49</v>
      </c>
      <c r="D22" s="18" t="s">
        <v>111</v>
      </c>
      <c r="E22" s="19"/>
      <c r="F22" s="20">
        <v>800000</v>
      </c>
      <c r="G22" s="21">
        <f t="shared" si="1"/>
        <v>20753928</v>
      </c>
      <c r="H22" s="3"/>
      <c r="I22" s="23" t="s">
        <v>41</v>
      </c>
      <c r="J22" s="18" t="s">
        <v>36</v>
      </c>
    </row>
    <row r="23" spans="1:10" x14ac:dyDescent="0.2">
      <c r="A23" s="16"/>
      <c r="B23" s="17" t="s">
        <v>27</v>
      </c>
      <c r="C23" s="18" t="s">
        <v>32</v>
      </c>
      <c r="D23" s="18" t="s">
        <v>112</v>
      </c>
      <c r="E23" s="19"/>
      <c r="F23" s="20">
        <v>1680000</v>
      </c>
      <c r="G23" s="21">
        <f t="shared" si="0"/>
        <v>19073928</v>
      </c>
      <c r="H23" s="3"/>
      <c r="I23" s="23" t="s">
        <v>48</v>
      </c>
      <c r="J23" s="18" t="s">
        <v>20</v>
      </c>
    </row>
    <row r="24" spans="1:10" x14ac:dyDescent="0.2">
      <c r="A24" s="16"/>
      <c r="B24" s="23" t="s">
        <v>29</v>
      </c>
      <c r="C24" s="18" t="s">
        <v>16</v>
      </c>
      <c r="D24" s="18" t="s">
        <v>65</v>
      </c>
      <c r="E24" s="19"/>
      <c r="F24" s="20">
        <f>2556919+2500</f>
        <v>2559419</v>
      </c>
      <c r="G24" s="21">
        <f t="shared" si="0"/>
        <v>16514509</v>
      </c>
      <c r="H24" s="3"/>
      <c r="I24" s="23" t="s">
        <v>54</v>
      </c>
      <c r="J24" s="18" t="s">
        <v>55</v>
      </c>
    </row>
    <row r="25" spans="1:10" x14ac:dyDescent="0.2">
      <c r="A25" s="16"/>
      <c r="B25" s="23" t="s">
        <v>30</v>
      </c>
      <c r="C25" s="18" t="s">
        <v>17</v>
      </c>
      <c r="D25" s="18" t="s">
        <v>66</v>
      </c>
      <c r="E25" s="19"/>
      <c r="F25" s="20">
        <f>4318345+3000</f>
        <v>4321345</v>
      </c>
      <c r="G25" s="21">
        <f t="shared" si="0"/>
        <v>12193164</v>
      </c>
      <c r="H25" s="3"/>
      <c r="I25" s="23" t="s">
        <v>56</v>
      </c>
      <c r="J25" s="18" t="s">
        <v>57</v>
      </c>
    </row>
    <row r="26" spans="1:10" x14ac:dyDescent="0.2">
      <c r="A26" s="22"/>
      <c r="B26" s="17" t="s">
        <v>27</v>
      </c>
      <c r="C26" s="18" t="s">
        <v>32</v>
      </c>
      <c r="D26" s="18" t="s">
        <v>113</v>
      </c>
      <c r="E26" s="18"/>
      <c r="F26" s="20">
        <v>30000</v>
      </c>
      <c r="G26" s="21">
        <f t="shared" si="0"/>
        <v>12163164</v>
      </c>
      <c r="H26" s="3"/>
      <c r="I26" s="46"/>
    </row>
    <row r="27" spans="1:10" x14ac:dyDescent="0.2">
      <c r="A27" s="16"/>
      <c r="B27" s="23" t="s">
        <v>39</v>
      </c>
      <c r="C27" s="18" t="s">
        <v>38</v>
      </c>
      <c r="D27" s="18" t="s">
        <v>114</v>
      </c>
      <c r="E27" s="19"/>
      <c r="F27" s="20">
        <v>100000</v>
      </c>
      <c r="G27" s="21">
        <f t="shared" si="0"/>
        <v>12063164</v>
      </c>
      <c r="H27" s="3"/>
    </row>
    <row r="28" spans="1:10" x14ac:dyDescent="0.2">
      <c r="A28" s="22"/>
      <c r="B28" s="17" t="s">
        <v>27</v>
      </c>
      <c r="C28" s="18" t="s">
        <v>32</v>
      </c>
      <c r="D28" s="18" t="s">
        <v>115</v>
      </c>
      <c r="E28" s="18"/>
      <c r="F28" s="20">
        <v>17500</v>
      </c>
      <c r="G28" s="21">
        <f t="shared" si="0"/>
        <v>12045664</v>
      </c>
      <c r="H28" s="3"/>
      <c r="I28" s="45"/>
      <c r="J28" s="2"/>
    </row>
    <row r="29" spans="1:10" x14ac:dyDescent="0.2">
      <c r="A29" s="16">
        <v>45965</v>
      </c>
      <c r="B29" s="23"/>
      <c r="C29" s="18"/>
      <c r="D29" s="18" t="s">
        <v>62</v>
      </c>
      <c r="E29" s="19">
        <v>500000</v>
      </c>
      <c r="F29" s="20"/>
      <c r="G29" s="21">
        <f t="shared" si="0"/>
        <v>12545664</v>
      </c>
      <c r="H29" s="3"/>
      <c r="J29" s="8"/>
    </row>
    <row r="30" spans="1:10" x14ac:dyDescent="0.2">
      <c r="A30" s="16"/>
      <c r="B30" s="23" t="s">
        <v>31</v>
      </c>
      <c r="C30" s="18" t="s">
        <v>15</v>
      </c>
      <c r="D30" s="18" t="s">
        <v>116</v>
      </c>
      <c r="E30" s="19"/>
      <c r="F30" s="20">
        <v>150000</v>
      </c>
      <c r="G30" s="21">
        <f t="shared" si="0"/>
        <v>12395664</v>
      </c>
      <c r="H30" s="3"/>
      <c r="J30" s="8"/>
    </row>
    <row r="31" spans="1:10" x14ac:dyDescent="0.2">
      <c r="A31" s="16"/>
      <c r="B31" s="23" t="s">
        <v>31</v>
      </c>
      <c r="C31" s="18" t="s">
        <v>15</v>
      </c>
      <c r="D31" s="18" t="s">
        <v>117</v>
      </c>
      <c r="E31" s="33"/>
      <c r="F31" s="20">
        <v>100000</v>
      </c>
      <c r="G31" s="21">
        <f>G30+E31-F31</f>
        <v>12295664</v>
      </c>
      <c r="H31" s="3"/>
      <c r="J31" s="8"/>
    </row>
    <row r="32" spans="1:10" x14ac:dyDescent="0.2">
      <c r="A32" s="16"/>
      <c r="B32" s="23" t="s">
        <v>31</v>
      </c>
      <c r="C32" s="18" t="s">
        <v>15</v>
      </c>
      <c r="D32" s="18" t="s">
        <v>118</v>
      </c>
      <c r="E32" s="19"/>
      <c r="F32" s="20">
        <v>100000</v>
      </c>
      <c r="G32" s="21">
        <f>G31+E32-F32</f>
        <v>12195664</v>
      </c>
      <c r="H32" s="3"/>
      <c r="J32" s="8"/>
    </row>
    <row r="33" spans="1:11" x14ac:dyDescent="0.2">
      <c r="A33" s="22"/>
      <c r="B33" s="23" t="s">
        <v>31</v>
      </c>
      <c r="C33" s="18" t="s">
        <v>15</v>
      </c>
      <c r="D33" s="18" t="s">
        <v>119</v>
      </c>
      <c r="E33" s="18"/>
      <c r="F33" s="20">
        <v>50000</v>
      </c>
      <c r="G33" s="21">
        <f>G32+E33-F33</f>
        <v>12145664</v>
      </c>
      <c r="H33" s="3"/>
      <c r="J33" s="8"/>
    </row>
    <row r="34" spans="1:11" x14ac:dyDescent="0.2">
      <c r="A34" s="22"/>
      <c r="B34" s="23" t="s">
        <v>24</v>
      </c>
      <c r="C34" s="18" t="s">
        <v>18</v>
      </c>
      <c r="D34" s="18" t="s">
        <v>120</v>
      </c>
      <c r="E34" s="18"/>
      <c r="F34" s="20">
        <v>100000</v>
      </c>
      <c r="G34" s="21">
        <f>G33+E34-F34</f>
        <v>12045664</v>
      </c>
      <c r="H34" s="3"/>
      <c r="J34" s="8"/>
    </row>
    <row r="35" spans="1:11" x14ac:dyDescent="0.2">
      <c r="A35" s="16"/>
      <c r="B35" s="17" t="s">
        <v>27</v>
      </c>
      <c r="C35" s="18" t="s">
        <v>32</v>
      </c>
      <c r="D35" s="18" t="s">
        <v>121</v>
      </c>
      <c r="E35" s="18"/>
      <c r="F35" s="20">
        <v>65000</v>
      </c>
      <c r="G35" s="21">
        <f t="shared" ref="G35:G133" si="2">G34+E35-F35</f>
        <v>11980664</v>
      </c>
      <c r="H35" s="3"/>
      <c r="J35" s="8"/>
    </row>
    <row r="36" spans="1:11" x14ac:dyDescent="0.2">
      <c r="A36" s="16"/>
      <c r="B36" s="23" t="s">
        <v>24</v>
      </c>
      <c r="C36" s="18" t="s">
        <v>18</v>
      </c>
      <c r="D36" s="18" t="s">
        <v>122</v>
      </c>
      <c r="E36" s="18"/>
      <c r="F36" s="20">
        <v>50000</v>
      </c>
      <c r="G36" s="21">
        <f t="shared" si="2"/>
        <v>11930664</v>
      </c>
      <c r="H36" s="3"/>
      <c r="J36" s="8"/>
    </row>
    <row r="37" spans="1:11" x14ac:dyDescent="0.2">
      <c r="A37" s="16">
        <v>45967</v>
      </c>
      <c r="B37" s="17"/>
      <c r="C37" s="18"/>
      <c r="D37" s="18" t="s">
        <v>62</v>
      </c>
      <c r="E37" s="19">
        <v>550000</v>
      </c>
      <c r="F37" s="20"/>
      <c r="G37" s="21">
        <f t="shared" si="2"/>
        <v>12480664</v>
      </c>
      <c r="H37" s="3"/>
      <c r="J37" s="8"/>
    </row>
    <row r="38" spans="1:11" x14ac:dyDescent="0.2">
      <c r="A38" s="16"/>
      <c r="B38" s="23" t="s">
        <v>50</v>
      </c>
      <c r="C38" s="18" t="s">
        <v>49</v>
      </c>
      <c r="D38" s="18" t="s">
        <v>123</v>
      </c>
      <c r="E38" s="35"/>
      <c r="F38" s="34">
        <v>200000</v>
      </c>
      <c r="G38" s="21">
        <f t="shared" si="2"/>
        <v>12280664</v>
      </c>
      <c r="H38" s="3"/>
      <c r="J38" s="8"/>
    </row>
    <row r="39" spans="1:11" x14ac:dyDescent="0.2">
      <c r="A39" s="16"/>
      <c r="B39" s="23" t="s">
        <v>40</v>
      </c>
      <c r="C39" s="18" t="s">
        <v>35</v>
      </c>
      <c r="D39" s="18" t="s">
        <v>124</v>
      </c>
      <c r="E39" s="35"/>
      <c r="F39" s="34">
        <v>142000</v>
      </c>
      <c r="G39" s="21">
        <f t="shared" si="2"/>
        <v>12138664</v>
      </c>
      <c r="H39" s="3"/>
      <c r="J39" s="8"/>
    </row>
    <row r="40" spans="1:11" x14ac:dyDescent="0.2">
      <c r="A40" s="16"/>
      <c r="B40" s="23" t="s">
        <v>31</v>
      </c>
      <c r="C40" s="18" t="s">
        <v>15</v>
      </c>
      <c r="D40" s="18" t="s">
        <v>125</v>
      </c>
      <c r="E40" s="35"/>
      <c r="F40" s="34">
        <v>200000</v>
      </c>
      <c r="G40" s="21">
        <f t="shared" si="2"/>
        <v>11938664</v>
      </c>
      <c r="H40" s="3"/>
      <c r="J40" s="8"/>
    </row>
    <row r="41" spans="1:11" x14ac:dyDescent="0.2">
      <c r="A41" s="16">
        <v>45968</v>
      </c>
      <c r="B41" s="23"/>
      <c r="C41" s="18"/>
      <c r="D41" s="18" t="s">
        <v>62</v>
      </c>
      <c r="E41" s="19">
        <f>800000+3270000</f>
        <v>4070000</v>
      </c>
      <c r="F41" s="20"/>
      <c r="G41" s="21">
        <f t="shared" si="2"/>
        <v>16008664</v>
      </c>
      <c r="H41" s="3"/>
      <c r="J41" s="8"/>
    </row>
    <row r="42" spans="1:11" x14ac:dyDescent="0.2">
      <c r="A42" s="16"/>
      <c r="B42" s="23" t="s">
        <v>39</v>
      </c>
      <c r="C42" s="18" t="s">
        <v>38</v>
      </c>
      <c r="D42" s="18" t="s">
        <v>126</v>
      </c>
      <c r="E42" s="19"/>
      <c r="F42" s="20">
        <v>30000</v>
      </c>
      <c r="G42" s="21">
        <f t="shared" si="2"/>
        <v>15978664</v>
      </c>
      <c r="H42" s="3"/>
      <c r="J42" s="8"/>
    </row>
    <row r="43" spans="1:11" x14ac:dyDescent="0.2">
      <c r="A43" s="22"/>
      <c r="B43" s="23" t="s">
        <v>24</v>
      </c>
      <c r="C43" s="18" t="s">
        <v>18</v>
      </c>
      <c r="D43" s="18" t="s">
        <v>127</v>
      </c>
      <c r="E43" s="18"/>
      <c r="F43" s="20">
        <v>30000</v>
      </c>
      <c r="G43" s="21">
        <f t="shared" si="2"/>
        <v>15948664</v>
      </c>
      <c r="H43" s="3"/>
      <c r="J43" s="8"/>
    </row>
    <row r="44" spans="1:11" x14ac:dyDescent="0.2">
      <c r="A44" s="16"/>
      <c r="B44" s="23" t="s">
        <v>45</v>
      </c>
      <c r="C44" s="18" t="s">
        <v>13</v>
      </c>
      <c r="D44" s="18" t="s">
        <v>128</v>
      </c>
      <c r="E44" s="19"/>
      <c r="F44" s="20">
        <v>450000</v>
      </c>
      <c r="G44" s="21">
        <f t="shared" si="2"/>
        <v>15498664</v>
      </c>
      <c r="H44" s="3"/>
      <c r="J44" s="8"/>
      <c r="K44" s="4"/>
    </row>
    <row r="45" spans="1:11" x14ac:dyDescent="0.2">
      <c r="A45" s="16"/>
      <c r="B45" s="23" t="s">
        <v>45</v>
      </c>
      <c r="C45" s="18" t="s">
        <v>13</v>
      </c>
      <c r="D45" s="18" t="s">
        <v>129</v>
      </c>
      <c r="E45" s="19"/>
      <c r="F45" s="20">
        <v>350000</v>
      </c>
      <c r="G45" s="21">
        <f t="shared" si="2"/>
        <v>15148664</v>
      </c>
      <c r="H45" s="3"/>
      <c r="J45" s="8"/>
    </row>
    <row r="46" spans="1:11" x14ac:dyDescent="0.2">
      <c r="A46" s="16"/>
      <c r="B46" s="23" t="s">
        <v>48</v>
      </c>
      <c r="C46" s="18" t="s">
        <v>20</v>
      </c>
      <c r="D46" s="18" t="s">
        <v>130</v>
      </c>
      <c r="E46" s="19"/>
      <c r="F46" s="20">
        <v>1625000</v>
      </c>
      <c r="G46" s="21">
        <f t="shared" si="2"/>
        <v>13523664</v>
      </c>
      <c r="H46" s="3"/>
      <c r="J46" s="48"/>
      <c r="K46" s="4"/>
    </row>
    <row r="47" spans="1:11" x14ac:dyDescent="0.2">
      <c r="A47" s="16"/>
      <c r="B47" s="23" t="s">
        <v>48</v>
      </c>
      <c r="C47" s="18" t="s">
        <v>20</v>
      </c>
      <c r="D47" s="18" t="s">
        <v>131</v>
      </c>
      <c r="E47" s="19"/>
      <c r="F47" s="20">
        <v>3832000</v>
      </c>
      <c r="G47" s="21">
        <f t="shared" si="2"/>
        <v>9691664</v>
      </c>
      <c r="H47" s="3"/>
      <c r="J47" s="8"/>
    </row>
    <row r="48" spans="1:11" x14ac:dyDescent="0.2">
      <c r="A48" s="16"/>
      <c r="B48" s="23" t="s">
        <v>48</v>
      </c>
      <c r="C48" s="18" t="s">
        <v>20</v>
      </c>
      <c r="D48" s="18" t="s">
        <v>132</v>
      </c>
      <c r="E48" s="19"/>
      <c r="F48" s="20">
        <v>400000</v>
      </c>
      <c r="G48" s="21">
        <f t="shared" si="2"/>
        <v>9291664</v>
      </c>
      <c r="H48" s="3"/>
      <c r="J48" s="8"/>
    </row>
    <row r="49" spans="1:11" x14ac:dyDescent="0.2">
      <c r="A49" s="16"/>
      <c r="B49" s="23" t="s">
        <v>48</v>
      </c>
      <c r="C49" s="18" t="s">
        <v>20</v>
      </c>
      <c r="D49" s="18" t="s">
        <v>133</v>
      </c>
      <c r="E49" s="19"/>
      <c r="F49" s="20">
        <v>200000</v>
      </c>
      <c r="G49" s="21">
        <f t="shared" si="2"/>
        <v>9091664</v>
      </c>
      <c r="H49" s="3">
        <f>F14+F15+F16+F17+F18+F19+F20+F46+F47+F48+F49+F50+F51+F59+F60+F61+F62</f>
        <v>10207000</v>
      </c>
      <c r="J49" s="8"/>
    </row>
    <row r="50" spans="1:11" x14ac:dyDescent="0.2">
      <c r="A50" s="16"/>
      <c r="B50" s="23" t="s">
        <v>48</v>
      </c>
      <c r="C50" s="18" t="s">
        <v>20</v>
      </c>
      <c r="D50" s="18" t="s">
        <v>134</v>
      </c>
      <c r="E50" s="19"/>
      <c r="F50" s="20">
        <v>800000</v>
      </c>
      <c r="G50" s="21">
        <f t="shared" si="2"/>
        <v>8291664</v>
      </c>
      <c r="H50" s="3"/>
      <c r="J50" s="8"/>
    </row>
    <row r="51" spans="1:11" x14ac:dyDescent="0.2">
      <c r="A51" s="16"/>
      <c r="B51" s="23" t="s">
        <v>48</v>
      </c>
      <c r="C51" s="18" t="s">
        <v>20</v>
      </c>
      <c r="D51" s="18" t="s">
        <v>135</v>
      </c>
      <c r="E51" s="33"/>
      <c r="F51" s="20">
        <v>400000</v>
      </c>
      <c r="G51" s="21">
        <f t="shared" si="2"/>
        <v>7891664</v>
      </c>
      <c r="H51" s="3"/>
      <c r="J51" s="8"/>
    </row>
    <row r="52" spans="1:11" x14ac:dyDescent="0.2">
      <c r="A52" s="16"/>
      <c r="B52" s="23" t="s">
        <v>34</v>
      </c>
      <c r="C52" s="18" t="s">
        <v>33</v>
      </c>
      <c r="D52" s="18" t="s">
        <v>136</v>
      </c>
      <c r="E52" s="33"/>
      <c r="F52" s="20">
        <v>270000</v>
      </c>
      <c r="G52" s="21">
        <f t="shared" si="2"/>
        <v>7621664</v>
      </c>
      <c r="H52" s="3"/>
      <c r="J52" s="8"/>
    </row>
    <row r="53" spans="1:11" x14ac:dyDescent="0.2">
      <c r="A53" s="16">
        <v>45969</v>
      </c>
      <c r="B53" s="17" t="s">
        <v>27</v>
      </c>
      <c r="C53" s="18" t="s">
        <v>32</v>
      </c>
      <c r="D53" s="18" t="s">
        <v>137</v>
      </c>
      <c r="E53" s="19"/>
      <c r="F53" s="20">
        <v>1000000</v>
      </c>
      <c r="G53" s="21">
        <f t="shared" si="2"/>
        <v>6621664</v>
      </c>
      <c r="H53" s="3"/>
      <c r="J53" s="8"/>
    </row>
    <row r="54" spans="1:11" x14ac:dyDescent="0.2">
      <c r="A54" s="16"/>
      <c r="B54" s="17" t="s">
        <v>27</v>
      </c>
      <c r="C54" s="18" t="s">
        <v>32</v>
      </c>
      <c r="D54" s="18" t="s">
        <v>138</v>
      </c>
      <c r="E54" s="19"/>
      <c r="F54" s="20">
        <v>1000000</v>
      </c>
      <c r="G54" s="21">
        <f t="shared" si="2"/>
        <v>5621664</v>
      </c>
      <c r="H54" s="3"/>
      <c r="J54" s="8"/>
    </row>
    <row r="55" spans="1:11" x14ac:dyDescent="0.2">
      <c r="A55" s="16"/>
      <c r="B55" s="17" t="s">
        <v>27</v>
      </c>
      <c r="C55" s="18" t="s">
        <v>32</v>
      </c>
      <c r="D55" s="18" t="s">
        <v>86</v>
      </c>
      <c r="E55" s="18"/>
      <c r="F55" s="20">
        <v>500000</v>
      </c>
      <c r="G55" s="21">
        <f t="shared" si="2"/>
        <v>5121664</v>
      </c>
      <c r="H55" s="3"/>
      <c r="J55" s="8"/>
    </row>
    <row r="56" spans="1:11" x14ac:dyDescent="0.2">
      <c r="A56" s="16"/>
      <c r="B56" s="17" t="s">
        <v>27</v>
      </c>
      <c r="C56" s="18" t="s">
        <v>32</v>
      </c>
      <c r="D56" s="18" t="s">
        <v>87</v>
      </c>
      <c r="E56" s="19"/>
      <c r="F56" s="20">
        <v>200000</v>
      </c>
      <c r="G56" s="21">
        <f t="shared" si="2"/>
        <v>4921664</v>
      </c>
      <c r="H56" s="3"/>
      <c r="J56" s="8"/>
    </row>
    <row r="57" spans="1:11" x14ac:dyDescent="0.2">
      <c r="A57" s="22"/>
      <c r="B57" s="17" t="s">
        <v>27</v>
      </c>
      <c r="C57" s="18" t="s">
        <v>32</v>
      </c>
      <c r="D57" s="18" t="s">
        <v>139</v>
      </c>
      <c r="E57" s="18"/>
      <c r="F57" s="20">
        <v>240000</v>
      </c>
      <c r="G57" s="21">
        <f t="shared" si="2"/>
        <v>4681664</v>
      </c>
      <c r="H57" s="3"/>
      <c r="J57" s="8"/>
    </row>
    <row r="58" spans="1:11" x14ac:dyDescent="0.2">
      <c r="A58" s="16"/>
      <c r="B58" s="17" t="s">
        <v>27</v>
      </c>
      <c r="C58" s="18" t="s">
        <v>32</v>
      </c>
      <c r="D58" s="18" t="s">
        <v>140</v>
      </c>
      <c r="E58" s="19"/>
      <c r="F58" s="20">
        <v>60000</v>
      </c>
      <c r="G58" s="21">
        <f t="shared" si="2"/>
        <v>4621664</v>
      </c>
      <c r="H58" s="3"/>
      <c r="J58" s="8"/>
    </row>
    <row r="59" spans="1:11" x14ac:dyDescent="0.2">
      <c r="A59" s="16">
        <v>45970</v>
      </c>
      <c r="B59" s="23" t="s">
        <v>31</v>
      </c>
      <c r="C59" s="18" t="s">
        <v>15</v>
      </c>
      <c r="D59" s="18" t="s">
        <v>105</v>
      </c>
      <c r="E59" s="18"/>
      <c r="F59" s="20">
        <v>150000</v>
      </c>
      <c r="G59" s="21">
        <f t="shared" si="2"/>
        <v>4471664</v>
      </c>
      <c r="H59" s="3"/>
      <c r="J59" s="8"/>
      <c r="K59" s="8"/>
    </row>
    <row r="60" spans="1:11" x14ac:dyDescent="0.2">
      <c r="A60" s="16"/>
      <c r="B60" s="23" t="s">
        <v>31</v>
      </c>
      <c r="C60" s="18" t="s">
        <v>15</v>
      </c>
      <c r="D60" s="49" t="s">
        <v>141</v>
      </c>
      <c r="E60" s="18"/>
      <c r="F60" s="20">
        <v>200000</v>
      </c>
      <c r="G60" s="21">
        <f t="shared" si="2"/>
        <v>4271664</v>
      </c>
      <c r="H60" s="3"/>
      <c r="J60" s="8"/>
    </row>
    <row r="61" spans="1:11" x14ac:dyDescent="0.2">
      <c r="A61" s="16"/>
      <c r="B61" s="23" t="s">
        <v>31</v>
      </c>
      <c r="C61" s="18" t="s">
        <v>15</v>
      </c>
      <c r="D61" s="18" t="s">
        <v>107</v>
      </c>
      <c r="E61" s="18"/>
      <c r="F61" s="20">
        <v>200000</v>
      </c>
      <c r="G61" s="21">
        <f t="shared" si="2"/>
        <v>4071664</v>
      </c>
      <c r="H61" s="3"/>
      <c r="I61" s="13"/>
      <c r="J61" s="8"/>
    </row>
    <row r="62" spans="1:11" x14ac:dyDescent="0.2">
      <c r="A62" s="16"/>
      <c r="B62" s="23" t="s">
        <v>48</v>
      </c>
      <c r="C62" s="18" t="s">
        <v>20</v>
      </c>
      <c r="D62" s="18" t="s">
        <v>142</v>
      </c>
      <c r="E62" s="19"/>
      <c r="F62" s="20">
        <v>600000</v>
      </c>
      <c r="G62" s="21">
        <f t="shared" si="2"/>
        <v>3471664</v>
      </c>
      <c r="H62" s="3"/>
      <c r="I62" s="47"/>
      <c r="J62" s="8"/>
    </row>
    <row r="63" spans="1:11" x14ac:dyDescent="0.2">
      <c r="A63" s="16">
        <v>45971</v>
      </c>
      <c r="B63" s="17"/>
      <c r="C63" s="18"/>
      <c r="D63" s="18" t="s">
        <v>62</v>
      </c>
      <c r="E63" s="35">
        <v>4700000</v>
      </c>
      <c r="F63" s="53"/>
      <c r="G63" s="21">
        <f t="shared" si="2"/>
        <v>8171664</v>
      </c>
      <c r="H63" s="3"/>
      <c r="J63" s="8"/>
    </row>
    <row r="64" spans="1:11" x14ac:dyDescent="0.2">
      <c r="A64" s="16"/>
      <c r="B64" s="17" t="s">
        <v>27</v>
      </c>
      <c r="C64" s="18" t="s">
        <v>32</v>
      </c>
      <c r="D64" s="18" t="s">
        <v>143</v>
      </c>
      <c r="E64" s="35"/>
      <c r="F64" s="53">
        <v>900000</v>
      </c>
      <c r="G64" s="21">
        <f t="shared" si="2"/>
        <v>7271664</v>
      </c>
      <c r="H64" s="3"/>
      <c r="J64" s="8"/>
    </row>
    <row r="65" spans="1:11" x14ac:dyDescent="0.2">
      <c r="A65" s="16"/>
      <c r="B65" s="23" t="s">
        <v>50</v>
      </c>
      <c r="C65" s="18" t="s">
        <v>49</v>
      </c>
      <c r="D65" s="18" t="s">
        <v>111</v>
      </c>
      <c r="E65" s="35"/>
      <c r="F65" s="53">
        <v>800000</v>
      </c>
      <c r="G65" s="21">
        <f t="shared" si="2"/>
        <v>6471664</v>
      </c>
      <c r="H65" s="3"/>
      <c r="J65" s="8"/>
    </row>
    <row r="66" spans="1:11" x14ac:dyDescent="0.2">
      <c r="A66" s="16"/>
      <c r="B66" s="23" t="s">
        <v>31</v>
      </c>
      <c r="C66" s="18" t="s">
        <v>15</v>
      </c>
      <c r="D66" s="18" t="s">
        <v>144</v>
      </c>
      <c r="E66" s="35"/>
      <c r="F66" s="53">
        <v>135000</v>
      </c>
      <c r="G66" s="21">
        <f t="shared" si="2"/>
        <v>6336664</v>
      </c>
      <c r="H66" s="3"/>
      <c r="J66" s="8"/>
    </row>
    <row r="67" spans="1:11" x14ac:dyDescent="0.2">
      <c r="A67" s="16"/>
      <c r="B67" s="23" t="s">
        <v>34</v>
      </c>
      <c r="C67" s="18" t="s">
        <v>33</v>
      </c>
      <c r="D67" s="18" t="s">
        <v>145</v>
      </c>
      <c r="E67" s="33"/>
      <c r="F67" s="20">
        <v>200000</v>
      </c>
      <c r="G67" s="21">
        <f t="shared" si="2"/>
        <v>6136664</v>
      </c>
      <c r="H67" s="3"/>
      <c r="J67" s="8"/>
      <c r="K67" s="4"/>
    </row>
    <row r="68" spans="1:11" x14ac:dyDescent="0.2">
      <c r="A68" s="16"/>
      <c r="B68" s="17" t="s">
        <v>27</v>
      </c>
      <c r="C68" s="18" t="s">
        <v>32</v>
      </c>
      <c r="D68" s="18" t="s">
        <v>146</v>
      </c>
      <c r="E68" s="19"/>
      <c r="F68" s="20">
        <v>320000</v>
      </c>
      <c r="G68" s="21">
        <f t="shared" si="2"/>
        <v>5816664</v>
      </c>
      <c r="H68" s="3"/>
      <c r="J68" s="8"/>
    </row>
    <row r="69" spans="1:11" x14ac:dyDescent="0.2">
      <c r="A69" s="16"/>
      <c r="B69" s="17" t="s">
        <v>27</v>
      </c>
      <c r="C69" s="18" t="s">
        <v>32</v>
      </c>
      <c r="D69" s="18" t="s">
        <v>147</v>
      </c>
      <c r="E69" s="18"/>
      <c r="F69" s="20">
        <v>480000</v>
      </c>
      <c r="G69" s="21">
        <f t="shared" si="2"/>
        <v>5336664</v>
      </c>
      <c r="H69" s="3"/>
      <c r="J69" s="8"/>
    </row>
    <row r="70" spans="1:11" x14ac:dyDescent="0.2">
      <c r="A70" s="16"/>
      <c r="B70" s="17" t="s">
        <v>27</v>
      </c>
      <c r="C70" s="18" t="s">
        <v>32</v>
      </c>
      <c r="D70" s="18" t="s">
        <v>148</v>
      </c>
      <c r="E70" s="35"/>
      <c r="F70" s="53">
        <v>75000</v>
      </c>
      <c r="G70" s="21">
        <f t="shared" si="2"/>
        <v>5261664</v>
      </c>
      <c r="H70" s="3"/>
      <c r="J70" s="8"/>
    </row>
    <row r="71" spans="1:11" x14ac:dyDescent="0.2">
      <c r="A71" s="16"/>
      <c r="B71" s="17" t="s">
        <v>27</v>
      </c>
      <c r="C71" s="18" t="s">
        <v>32</v>
      </c>
      <c r="D71" s="18" t="s">
        <v>149</v>
      </c>
      <c r="E71" s="33"/>
      <c r="F71" s="20">
        <v>30000</v>
      </c>
      <c r="G71" s="21">
        <f t="shared" si="2"/>
        <v>5231664</v>
      </c>
      <c r="H71" s="3"/>
      <c r="J71" s="8"/>
    </row>
    <row r="72" spans="1:11" x14ac:dyDescent="0.2">
      <c r="A72" s="16"/>
      <c r="B72" s="17" t="s">
        <v>27</v>
      </c>
      <c r="C72" s="18" t="s">
        <v>32</v>
      </c>
      <c r="D72" s="18" t="s">
        <v>150</v>
      </c>
      <c r="E72" s="19"/>
      <c r="F72" s="20">
        <v>360000</v>
      </c>
      <c r="G72" s="21">
        <f t="shared" si="2"/>
        <v>4871664</v>
      </c>
      <c r="H72" s="3"/>
      <c r="J72" s="8"/>
    </row>
    <row r="73" spans="1:11" x14ac:dyDescent="0.2">
      <c r="A73" s="16"/>
      <c r="B73" s="17" t="s">
        <v>27</v>
      </c>
      <c r="C73" s="18" t="s">
        <v>32</v>
      </c>
      <c r="D73" s="18" t="s">
        <v>151</v>
      </c>
      <c r="E73" s="18"/>
      <c r="F73" s="20">
        <v>12000</v>
      </c>
      <c r="G73" s="21">
        <f t="shared" si="2"/>
        <v>4859664</v>
      </c>
      <c r="H73" s="3"/>
      <c r="J73" s="8"/>
    </row>
    <row r="74" spans="1:11" x14ac:dyDescent="0.2">
      <c r="A74" s="16"/>
      <c r="B74" s="17" t="s">
        <v>27</v>
      </c>
      <c r="C74" s="18" t="s">
        <v>32</v>
      </c>
      <c r="D74" s="18" t="s">
        <v>152</v>
      </c>
      <c r="E74" s="19"/>
      <c r="F74" s="20">
        <v>5000</v>
      </c>
      <c r="G74" s="21">
        <f t="shared" si="2"/>
        <v>4854664</v>
      </c>
      <c r="H74" s="3"/>
      <c r="J74" s="8"/>
    </row>
    <row r="75" spans="1:11" x14ac:dyDescent="0.2">
      <c r="A75" s="16"/>
      <c r="B75" s="17" t="s">
        <v>27</v>
      </c>
      <c r="C75" s="18" t="s">
        <v>32</v>
      </c>
      <c r="D75" s="18" t="s">
        <v>153</v>
      </c>
      <c r="E75" s="19"/>
      <c r="F75" s="20">
        <v>6000</v>
      </c>
      <c r="G75" s="21">
        <f t="shared" si="2"/>
        <v>4848664</v>
      </c>
      <c r="H75" s="3"/>
      <c r="J75" s="8"/>
    </row>
    <row r="76" spans="1:11" x14ac:dyDescent="0.2">
      <c r="A76" s="16"/>
      <c r="B76" s="17" t="s">
        <v>27</v>
      </c>
      <c r="C76" s="18" t="s">
        <v>32</v>
      </c>
      <c r="D76" s="18" t="s">
        <v>154</v>
      </c>
      <c r="E76" s="33"/>
      <c r="F76" s="20">
        <v>9000</v>
      </c>
      <c r="G76" s="21">
        <f t="shared" si="2"/>
        <v>4839664</v>
      </c>
      <c r="H76" s="3"/>
      <c r="J76" s="8"/>
    </row>
    <row r="77" spans="1:11" x14ac:dyDescent="0.2">
      <c r="A77" s="16"/>
      <c r="B77" s="17" t="s">
        <v>27</v>
      </c>
      <c r="C77" s="18" t="s">
        <v>32</v>
      </c>
      <c r="D77" s="18" t="s">
        <v>155</v>
      </c>
      <c r="E77" s="35"/>
      <c r="F77" s="53">
        <v>13000</v>
      </c>
      <c r="G77" s="21">
        <f t="shared" si="2"/>
        <v>4826664</v>
      </c>
      <c r="H77" s="3"/>
      <c r="J77" s="8"/>
    </row>
    <row r="78" spans="1:11" x14ac:dyDescent="0.2">
      <c r="A78" s="16"/>
      <c r="B78" s="17" t="s">
        <v>27</v>
      </c>
      <c r="C78" s="18" t="s">
        <v>32</v>
      </c>
      <c r="D78" s="18" t="s">
        <v>156</v>
      </c>
      <c r="E78" s="33"/>
      <c r="F78" s="20">
        <v>13000</v>
      </c>
      <c r="G78" s="21">
        <f t="shared" si="2"/>
        <v>4813664</v>
      </c>
      <c r="H78" s="3"/>
      <c r="J78" s="8"/>
    </row>
    <row r="79" spans="1:11" x14ac:dyDescent="0.2">
      <c r="A79" s="16"/>
      <c r="B79" s="17" t="s">
        <v>27</v>
      </c>
      <c r="C79" s="18" t="s">
        <v>32</v>
      </c>
      <c r="D79" s="18" t="s">
        <v>157</v>
      </c>
      <c r="E79" s="19"/>
      <c r="F79" s="20">
        <v>38000</v>
      </c>
      <c r="G79" s="21">
        <f t="shared" si="2"/>
        <v>4775664</v>
      </c>
      <c r="H79" s="3"/>
      <c r="J79" s="8"/>
    </row>
    <row r="80" spans="1:11" x14ac:dyDescent="0.2">
      <c r="A80" s="16"/>
      <c r="B80" s="17" t="s">
        <v>27</v>
      </c>
      <c r="C80" s="18" t="s">
        <v>32</v>
      </c>
      <c r="D80" s="18" t="s">
        <v>158</v>
      </c>
      <c r="E80" s="19"/>
      <c r="F80" s="20">
        <v>52000</v>
      </c>
      <c r="G80" s="21">
        <f t="shared" si="2"/>
        <v>4723664</v>
      </c>
      <c r="H80" s="3"/>
      <c r="J80" s="8"/>
    </row>
    <row r="81" spans="1:10" x14ac:dyDescent="0.2">
      <c r="A81" s="16"/>
      <c r="B81" s="17" t="s">
        <v>27</v>
      </c>
      <c r="C81" s="18" t="s">
        <v>32</v>
      </c>
      <c r="D81" s="18" t="s">
        <v>159</v>
      </c>
      <c r="E81" s="33"/>
      <c r="F81" s="20">
        <v>394500</v>
      </c>
      <c r="G81" s="21">
        <f t="shared" si="2"/>
        <v>4329164</v>
      </c>
      <c r="H81" s="3"/>
      <c r="J81" s="8"/>
    </row>
    <row r="82" spans="1:10" x14ac:dyDescent="0.2">
      <c r="A82" s="16"/>
      <c r="B82" s="17" t="s">
        <v>27</v>
      </c>
      <c r="C82" s="18" t="s">
        <v>32</v>
      </c>
      <c r="D82" s="18" t="s">
        <v>160</v>
      </c>
      <c r="E82" s="19"/>
      <c r="F82" s="20">
        <v>368500</v>
      </c>
      <c r="G82" s="21">
        <f t="shared" si="2"/>
        <v>3960664</v>
      </c>
      <c r="H82" s="3"/>
      <c r="J82" s="8"/>
    </row>
    <row r="83" spans="1:10" x14ac:dyDescent="0.2">
      <c r="A83" s="16"/>
      <c r="B83" s="17" t="s">
        <v>27</v>
      </c>
      <c r="C83" s="18" t="s">
        <v>32</v>
      </c>
      <c r="D83" s="18" t="s">
        <v>161</v>
      </c>
      <c r="E83" s="33"/>
      <c r="F83" s="20">
        <v>346000</v>
      </c>
      <c r="G83" s="21">
        <f t="shared" si="2"/>
        <v>3614664</v>
      </c>
      <c r="H83" s="3"/>
      <c r="J83" s="8"/>
    </row>
    <row r="84" spans="1:10" x14ac:dyDescent="0.2">
      <c r="A84" s="16"/>
      <c r="B84" s="17" t="s">
        <v>27</v>
      </c>
      <c r="C84" s="18" t="s">
        <v>32</v>
      </c>
      <c r="D84" s="18" t="s">
        <v>162</v>
      </c>
      <c r="E84" s="33"/>
      <c r="F84" s="20">
        <v>70000</v>
      </c>
      <c r="G84" s="21">
        <f t="shared" si="2"/>
        <v>3544664</v>
      </c>
      <c r="H84" s="3"/>
      <c r="J84" s="8"/>
    </row>
    <row r="85" spans="1:10" x14ac:dyDescent="0.2">
      <c r="A85" s="16"/>
      <c r="B85" s="17" t="s">
        <v>27</v>
      </c>
      <c r="C85" s="18" t="s">
        <v>32</v>
      </c>
      <c r="D85" s="18" t="s">
        <v>163</v>
      </c>
      <c r="E85" s="19"/>
      <c r="F85" s="20">
        <v>70000</v>
      </c>
      <c r="G85" s="21">
        <f t="shared" si="2"/>
        <v>3474664</v>
      </c>
      <c r="H85" s="3"/>
      <c r="J85" s="8"/>
    </row>
    <row r="86" spans="1:10" x14ac:dyDescent="0.2">
      <c r="A86" s="16"/>
      <c r="B86" s="17" t="s">
        <v>27</v>
      </c>
      <c r="C86" s="18" t="s">
        <v>32</v>
      </c>
      <c r="D86" s="18" t="s">
        <v>164</v>
      </c>
      <c r="E86" s="33"/>
      <c r="F86" s="20">
        <v>70000</v>
      </c>
      <c r="G86" s="21">
        <f t="shared" si="2"/>
        <v>3404664</v>
      </c>
      <c r="H86" s="3"/>
      <c r="J86" s="8"/>
    </row>
    <row r="87" spans="1:10" x14ac:dyDescent="0.2">
      <c r="A87" s="16"/>
      <c r="B87" s="23" t="s">
        <v>24</v>
      </c>
      <c r="C87" s="18" t="s">
        <v>18</v>
      </c>
      <c r="D87" s="18" t="s">
        <v>165</v>
      </c>
      <c r="E87" s="18"/>
      <c r="F87" s="20">
        <v>10000</v>
      </c>
      <c r="G87" s="21">
        <f t="shared" si="2"/>
        <v>3394664</v>
      </c>
      <c r="H87" s="3"/>
      <c r="J87" s="8"/>
    </row>
    <row r="88" spans="1:10" x14ac:dyDescent="0.2">
      <c r="A88" s="16"/>
      <c r="B88" s="23" t="s">
        <v>24</v>
      </c>
      <c r="C88" s="18" t="s">
        <v>18</v>
      </c>
      <c r="D88" s="18" t="s">
        <v>166</v>
      </c>
      <c r="E88" s="33"/>
      <c r="F88" s="20">
        <v>10000</v>
      </c>
      <c r="G88" s="21">
        <f t="shared" si="2"/>
        <v>3384664</v>
      </c>
      <c r="H88" s="3"/>
      <c r="J88" s="8"/>
    </row>
    <row r="89" spans="1:10" x14ac:dyDescent="0.2">
      <c r="A89" s="16"/>
      <c r="B89" s="23" t="s">
        <v>24</v>
      </c>
      <c r="C89" s="18" t="s">
        <v>18</v>
      </c>
      <c r="D89" s="18" t="s">
        <v>167</v>
      </c>
      <c r="E89" s="33"/>
      <c r="F89" s="20">
        <v>10000</v>
      </c>
      <c r="G89" s="21">
        <f t="shared" si="2"/>
        <v>3374664</v>
      </c>
      <c r="H89" s="3"/>
      <c r="J89" s="8"/>
    </row>
    <row r="90" spans="1:10" x14ac:dyDescent="0.2">
      <c r="A90" s="16"/>
      <c r="B90" s="23" t="s">
        <v>24</v>
      </c>
      <c r="C90" s="18" t="s">
        <v>18</v>
      </c>
      <c r="D90" s="18" t="s">
        <v>168</v>
      </c>
      <c r="E90" s="33"/>
      <c r="F90" s="20">
        <v>10000</v>
      </c>
      <c r="G90" s="21">
        <f t="shared" si="2"/>
        <v>3364664</v>
      </c>
      <c r="H90" s="3"/>
      <c r="J90" s="8"/>
    </row>
    <row r="91" spans="1:10" x14ac:dyDescent="0.2">
      <c r="A91" s="16">
        <v>45972</v>
      </c>
      <c r="B91" s="17"/>
      <c r="C91" s="18"/>
      <c r="D91" s="18" t="s">
        <v>62</v>
      </c>
      <c r="E91" s="33">
        <v>1300000</v>
      </c>
      <c r="F91" s="20"/>
      <c r="G91" s="21">
        <f t="shared" si="2"/>
        <v>4664664</v>
      </c>
      <c r="H91" s="3"/>
      <c r="J91" s="8"/>
    </row>
    <row r="92" spans="1:10" x14ac:dyDescent="0.2">
      <c r="A92" s="16"/>
      <c r="B92" s="23" t="s">
        <v>40</v>
      </c>
      <c r="C92" s="18" t="s">
        <v>35</v>
      </c>
      <c r="D92" s="18" t="s">
        <v>169</v>
      </c>
      <c r="E92" s="33"/>
      <c r="F92" s="20">
        <v>47900</v>
      </c>
      <c r="G92" s="21">
        <f t="shared" si="2"/>
        <v>4616764</v>
      </c>
      <c r="H92" s="3"/>
      <c r="J92" s="8"/>
    </row>
    <row r="93" spans="1:10" x14ac:dyDescent="0.2">
      <c r="A93" s="16"/>
      <c r="B93" s="23" t="s">
        <v>40</v>
      </c>
      <c r="C93" s="18" t="s">
        <v>35</v>
      </c>
      <c r="D93" s="18" t="s">
        <v>170</v>
      </c>
      <c r="E93" s="33"/>
      <c r="F93" s="20">
        <f>114000+123000</f>
        <v>237000</v>
      </c>
      <c r="G93" s="21">
        <f t="shared" si="2"/>
        <v>4379764</v>
      </c>
      <c r="H93" s="3"/>
      <c r="J93" s="8"/>
    </row>
    <row r="94" spans="1:10" x14ac:dyDescent="0.2">
      <c r="A94" s="16"/>
      <c r="B94" s="23" t="s">
        <v>40</v>
      </c>
      <c r="C94" s="18" t="s">
        <v>35</v>
      </c>
      <c r="D94" s="18" t="s">
        <v>93</v>
      </c>
      <c r="E94" s="33"/>
      <c r="F94" s="20">
        <v>10000</v>
      </c>
      <c r="G94" s="21">
        <f t="shared" si="2"/>
        <v>4369764</v>
      </c>
      <c r="H94" s="3"/>
      <c r="J94" s="8"/>
    </row>
    <row r="95" spans="1:10" x14ac:dyDescent="0.2">
      <c r="A95" s="16"/>
      <c r="B95" s="23" t="s">
        <v>40</v>
      </c>
      <c r="C95" s="18" t="s">
        <v>35</v>
      </c>
      <c r="D95" s="18" t="s">
        <v>171</v>
      </c>
      <c r="E95" s="19"/>
      <c r="F95" s="20">
        <v>202500</v>
      </c>
      <c r="G95" s="21">
        <f t="shared" si="2"/>
        <v>4167264</v>
      </c>
      <c r="H95" s="3"/>
      <c r="J95" s="8"/>
    </row>
    <row r="96" spans="1:10" x14ac:dyDescent="0.2">
      <c r="A96" s="16"/>
      <c r="B96" s="23" t="s">
        <v>40</v>
      </c>
      <c r="C96" s="18" t="s">
        <v>35</v>
      </c>
      <c r="D96" s="18" t="s">
        <v>172</v>
      </c>
      <c r="E96" s="19"/>
      <c r="F96" s="20">
        <v>200000</v>
      </c>
      <c r="G96" s="21">
        <f t="shared" si="2"/>
        <v>3967264</v>
      </c>
      <c r="H96" s="3"/>
      <c r="I96" s="8"/>
      <c r="J96" s="8"/>
    </row>
    <row r="97" spans="1:10" x14ac:dyDescent="0.2">
      <c r="A97" s="16"/>
      <c r="B97" s="23" t="s">
        <v>34</v>
      </c>
      <c r="C97" s="18" t="s">
        <v>33</v>
      </c>
      <c r="D97" s="18" t="s">
        <v>173</v>
      </c>
      <c r="E97" s="19"/>
      <c r="F97" s="20">
        <v>150000</v>
      </c>
      <c r="G97" s="21">
        <f t="shared" si="2"/>
        <v>3817264</v>
      </c>
      <c r="H97" s="3"/>
      <c r="I97" s="8"/>
      <c r="J97" s="8"/>
    </row>
    <row r="98" spans="1:10" x14ac:dyDescent="0.2">
      <c r="A98" s="16"/>
      <c r="B98" s="23" t="s">
        <v>24</v>
      </c>
      <c r="C98" s="18" t="s">
        <v>18</v>
      </c>
      <c r="D98" s="18" t="s">
        <v>91</v>
      </c>
      <c r="E98" s="19"/>
      <c r="F98" s="20">
        <v>56000</v>
      </c>
      <c r="G98" s="21">
        <f t="shared" si="2"/>
        <v>3761264</v>
      </c>
      <c r="H98" s="3"/>
      <c r="I98" s="8"/>
      <c r="J98" s="8"/>
    </row>
    <row r="99" spans="1:10" x14ac:dyDescent="0.2">
      <c r="A99" s="16"/>
      <c r="B99" s="23" t="s">
        <v>24</v>
      </c>
      <c r="C99" s="18" t="s">
        <v>18</v>
      </c>
      <c r="D99" s="18" t="s">
        <v>174</v>
      </c>
      <c r="E99" s="18"/>
      <c r="F99" s="20">
        <v>80000</v>
      </c>
      <c r="G99" s="21">
        <f t="shared" si="2"/>
        <v>3681264</v>
      </c>
      <c r="H99" s="3"/>
      <c r="I99" s="8"/>
      <c r="J99" s="8"/>
    </row>
    <row r="100" spans="1:10" x14ac:dyDescent="0.2">
      <c r="A100" s="16"/>
      <c r="B100" s="23" t="s">
        <v>31</v>
      </c>
      <c r="C100" s="18" t="s">
        <v>15</v>
      </c>
      <c r="D100" s="18" t="s">
        <v>92</v>
      </c>
      <c r="E100" s="18"/>
      <c r="F100" s="20">
        <v>35000</v>
      </c>
      <c r="G100" s="21">
        <f t="shared" si="2"/>
        <v>3646264</v>
      </c>
      <c r="H100" s="3"/>
      <c r="I100" s="8"/>
      <c r="J100" s="8"/>
    </row>
    <row r="101" spans="1:10" x14ac:dyDescent="0.2">
      <c r="A101" s="16"/>
      <c r="B101" s="23" t="s">
        <v>31</v>
      </c>
      <c r="C101" s="18" t="s">
        <v>15</v>
      </c>
      <c r="D101" s="18" t="s">
        <v>84</v>
      </c>
      <c r="E101" s="19"/>
      <c r="F101" s="20">
        <v>30000</v>
      </c>
      <c r="G101" s="21">
        <f t="shared" si="2"/>
        <v>3616264</v>
      </c>
      <c r="H101" s="3"/>
      <c r="I101" s="8"/>
      <c r="J101" s="8"/>
    </row>
    <row r="102" spans="1:10" x14ac:dyDescent="0.2">
      <c r="A102" s="16">
        <v>45973</v>
      </c>
      <c r="B102" s="17"/>
      <c r="C102" s="18"/>
      <c r="D102" s="18" t="s">
        <v>62</v>
      </c>
      <c r="E102" s="35">
        <v>1115000</v>
      </c>
      <c r="F102" s="53"/>
      <c r="G102" s="21">
        <f t="shared" si="2"/>
        <v>4731264</v>
      </c>
      <c r="H102" s="3"/>
      <c r="J102" s="8"/>
    </row>
    <row r="103" spans="1:10" x14ac:dyDescent="0.2">
      <c r="A103" s="16"/>
      <c r="B103" s="23"/>
      <c r="C103" s="18"/>
      <c r="D103" s="18" t="s">
        <v>189</v>
      </c>
      <c r="E103" s="33">
        <v>335000</v>
      </c>
      <c r="F103" s="20"/>
      <c r="G103" s="21">
        <f t="shared" si="2"/>
        <v>5066264</v>
      </c>
      <c r="H103" s="3"/>
      <c r="J103" s="8"/>
    </row>
    <row r="104" spans="1:10" x14ac:dyDescent="0.2">
      <c r="A104" s="16"/>
      <c r="B104" s="23" t="s">
        <v>50</v>
      </c>
      <c r="C104" s="18" t="s">
        <v>49</v>
      </c>
      <c r="D104" s="18" t="s">
        <v>111</v>
      </c>
      <c r="E104" s="33"/>
      <c r="F104" s="20">
        <v>800000</v>
      </c>
      <c r="G104" s="21">
        <f t="shared" si="2"/>
        <v>4266264</v>
      </c>
      <c r="H104" s="3"/>
      <c r="J104" s="8"/>
    </row>
    <row r="105" spans="1:10" x14ac:dyDescent="0.2">
      <c r="A105" s="16"/>
      <c r="B105" s="17" t="s">
        <v>27</v>
      </c>
      <c r="C105" s="18" t="s">
        <v>32</v>
      </c>
      <c r="D105" s="18" t="s">
        <v>137</v>
      </c>
      <c r="E105" s="33"/>
      <c r="F105" s="20">
        <v>1000000</v>
      </c>
      <c r="G105" s="21">
        <f t="shared" si="2"/>
        <v>3266264</v>
      </c>
      <c r="H105" s="3"/>
      <c r="J105" s="8"/>
    </row>
    <row r="106" spans="1:10" x14ac:dyDescent="0.2">
      <c r="A106" s="16"/>
      <c r="B106" s="17" t="s">
        <v>27</v>
      </c>
      <c r="C106" s="18" t="s">
        <v>32</v>
      </c>
      <c r="D106" s="18" t="s">
        <v>86</v>
      </c>
      <c r="E106" s="19"/>
      <c r="F106" s="20">
        <v>500000</v>
      </c>
      <c r="G106" s="21">
        <f t="shared" si="2"/>
        <v>2766264</v>
      </c>
      <c r="H106" s="3"/>
      <c r="J106" s="8"/>
    </row>
    <row r="107" spans="1:10" x14ac:dyDescent="0.2">
      <c r="A107" s="16"/>
      <c r="B107" s="17" t="s">
        <v>27</v>
      </c>
      <c r="C107" s="18" t="s">
        <v>32</v>
      </c>
      <c r="D107" s="18" t="s">
        <v>139</v>
      </c>
      <c r="E107" s="19"/>
      <c r="F107" s="20">
        <v>240000</v>
      </c>
      <c r="G107" s="21">
        <f t="shared" si="2"/>
        <v>2526264</v>
      </c>
      <c r="H107" s="3"/>
      <c r="J107" s="8"/>
    </row>
    <row r="108" spans="1:10" x14ac:dyDescent="0.2">
      <c r="A108" s="16"/>
      <c r="B108" s="17" t="s">
        <v>27</v>
      </c>
      <c r="C108" s="18" t="s">
        <v>32</v>
      </c>
      <c r="D108" s="18" t="s">
        <v>87</v>
      </c>
      <c r="E108" s="33"/>
      <c r="F108" s="20">
        <v>200000</v>
      </c>
      <c r="G108" s="21">
        <f t="shared" si="2"/>
        <v>2326264</v>
      </c>
      <c r="H108" s="3"/>
      <c r="J108" s="8"/>
    </row>
    <row r="109" spans="1:10" x14ac:dyDescent="0.2">
      <c r="A109" s="16"/>
      <c r="B109" s="17" t="s">
        <v>27</v>
      </c>
      <c r="C109" s="18" t="s">
        <v>32</v>
      </c>
      <c r="D109" s="18" t="s">
        <v>175</v>
      </c>
      <c r="E109" s="33"/>
      <c r="F109" s="20">
        <v>750000</v>
      </c>
      <c r="G109" s="21">
        <f t="shared" si="2"/>
        <v>1576264</v>
      </c>
      <c r="H109" s="3"/>
      <c r="J109" s="8"/>
    </row>
    <row r="110" spans="1:10" x14ac:dyDescent="0.2">
      <c r="A110" s="16"/>
      <c r="B110" s="23" t="s">
        <v>24</v>
      </c>
      <c r="C110" s="18" t="s">
        <v>18</v>
      </c>
      <c r="D110" s="18" t="s">
        <v>90</v>
      </c>
      <c r="E110" s="33"/>
      <c r="F110" s="20">
        <v>10000</v>
      </c>
      <c r="G110" s="21">
        <f t="shared" si="2"/>
        <v>1566264</v>
      </c>
      <c r="H110" s="3"/>
      <c r="J110" s="8"/>
    </row>
    <row r="111" spans="1:10" x14ac:dyDescent="0.2">
      <c r="A111" s="16"/>
      <c r="B111" s="23" t="s">
        <v>24</v>
      </c>
      <c r="C111" s="18" t="s">
        <v>18</v>
      </c>
      <c r="D111" s="18" t="s">
        <v>83</v>
      </c>
      <c r="E111" s="33"/>
      <c r="F111" s="20">
        <v>10000</v>
      </c>
      <c r="G111" s="21">
        <f t="shared" si="2"/>
        <v>1556264</v>
      </c>
      <c r="H111" s="3"/>
      <c r="J111" s="8"/>
    </row>
    <row r="112" spans="1:10" x14ac:dyDescent="0.2">
      <c r="A112" s="16"/>
      <c r="B112" s="23" t="s">
        <v>24</v>
      </c>
      <c r="C112" s="18" t="s">
        <v>18</v>
      </c>
      <c r="D112" s="18" t="s">
        <v>187</v>
      </c>
      <c r="E112" s="33"/>
      <c r="F112" s="20">
        <v>10000</v>
      </c>
      <c r="G112" s="21">
        <f t="shared" si="2"/>
        <v>1546264</v>
      </c>
      <c r="H112" s="3"/>
      <c r="J112" s="8"/>
    </row>
    <row r="113" spans="1:10" x14ac:dyDescent="0.2">
      <c r="A113" s="16">
        <v>45974</v>
      </c>
      <c r="B113" s="23" t="s">
        <v>24</v>
      </c>
      <c r="C113" s="18" t="s">
        <v>18</v>
      </c>
      <c r="D113" s="18" t="s">
        <v>176</v>
      </c>
      <c r="E113" s="33"/>
      <c r="F113" s="20">
        <v>150000</v>
      </c>
      <c r="G113" s="21">
        <f t="shared" si="2"/>
        <v>1396264</v>
      </c>
      <c r="H113" s="3"/>
      <c r="J113" s="8"/>
    </row>
    <row r="114" spans="1:10" x14ac:dyDescent="0.2">
      <c r="A114" s="16"/>
      <c r="B114" s="23" t="s">
        <v>50</v>
      </c>
      <c r="C114" s="18" t="s">
        <v>49</v>
      </c>
      <c r="D114" s="18" t="s">
        <v>123</v>
      </c>
      <c r="E114" s="33"/>
      <c r="F114" s="20">
        <v>200000</v>
      </c>
      <c r="G114" s="21">
        <f t="shared" si="2"/>
        <v>1196264</v>
      </c>
      <c r="H114" s="3"/>
      <c r="J114" s="8"/>
    </row>
    <row r="115" spans="1:10" x14ac:dyDescent="0.2">
      <c r="A115" s="16">
        <v>45975</v>
      </c>
      <c r="B115" s="17"/>
      <c r="C115" s="18"/>
      <c r="D115" s="18" t="s">
        <v>62</v>
      </c>
      <c r="E115" s="19">
        <f>650000+450000</f>
        <v>1100000</v>
      </c>
      <c r="F115" s="20"/>
      <c r="G115" s="21">
        <f t="shared" si="2"/>
        <v>2296264</v>
      </c>
      <c r="H115" s="3"/>
      <c r="J115" s="8"/>
    </row>
    <row r="116" spans="1:10" x14ac:dyDescent="0.2">
      <c r="A116" s="16"/>
      <c r="B116" s="23" t="s">
        <v>31</v>
      </c>
      <c r="C116" s="18" t="s">
        <v>15</v>
      </c>
      <c r="D116" s="18" t="s">
        <v>82</v>
      </c>
      <c r="E116" s="19"/>
      <c r="F116" s="20">
        <v>650000</v>
      </c>
      <c r="G116" s="21">
        <f t="shared" si="2"/>
        <v>1646264</v>
      </c>
      <c r="H116" s="3"/>
      <c r="J116" s="8"/>
    </row>
    <row r="117" spans="1:10" x14ac:dyDescent="0.2">
      <c r="A117" s="16"/>
      <c r="B117" s="17" t="s">
        <v>27</v>
      </c>
      <c r="C117" s="18" t="s">
        <v>32</v>
      </c>
      <c r="D117" s="18" t="s">
        <v>177</v>
      </c>
      <c r="E117" s="19"/>
      <c r="F117" s="20">
        <v>300000</v>
      </c>
      <c r="G117" s="21">
        <f t="shared" si="2"/>
        <v>1346264</v>
      </c>
      <c r="H117" s="3"/>
      <c r="J117" s="8"/>
    </row>
    <row r="118" spans="1:10" x14ac:dyDescent="0.2">
      <c r="A118" s="16"/>
      <c r="B118" s="23" t="s">
        <v>46</v>
      </c>
      <c r="C118" s="18" t="s">
        <v>14</v>
      </c>
      <c r="D118" s="18" t="s">
        <v>178</v>
      </c>
      <c r="E118" s="19"/>
      <c r="F118" s="20">
        <v>290000</v>
      </c>
      <c r="G118" s="21">
        <f t="shared" si="2"/>
        <v>1056264</v>
      </c>
      <c r="H118" s="3"/>
      <c r="J118" s="8"/>
    </row>
    <row r="119" spans="1:10" x14ac:dyDescent="0.2">
      <c r="A119" s="16"/>
      <c r="B119" s="23" t="s">
        <v>24</v>
      </c>
      <c r="C119" s="18" t="s">
        <v>18</v>
      </c>
      <c r="D119" s="18" t="s">
        <v>79</v>
      </c>
      <c r="E119" s="19"/>
      <c r="F119" s="20">
        <v>35100</v>
      </c>
      <c r="G119" s="21">
        <f t="shared" si="2"/>
        <v>1021164</v>
      </c>
      <c r="H119" s="3"/>
      <c r="J119" s="8"/>
    </row>
    <row r="120" spans="1:10" x14ac:dyDescent="0.2">
      <c r="A120" s="16"/>
      <c r="B120" s="23" t="s">
        <v>24</v>
      </c>
      <c r="C120" s="18" t="s">
        <v>18</v>
      </c>
      <c r="D120" s="18" t="s">
        <v>80</v>
      </c>
      <c r="E120" s="19"/>
      <c r="F120" s="20">
        <v>10000</v>
      </c>
      <c r="G120" s="21">
        <f t="shared" si="2"/>
        <v>1011164</v>
      </c>
      <c r="H120" s="3"/>
      <c r="J120" s="8"/>
    </row>
    <row r="121" spans="1:10" x14ac:dyDescent="0.2">
      <c r="A121" s="16"/>
      <c r="B121" s="23" t="s">
        <v>24</v>
      </c>
      <c r="C121" s="18" t="s">
        <v>18</v>
      </c>
      <c r="D121" s="18" t="s">
        <v>179</v>
      </c>
      <c r="E121" s="33"/>
      <c r="F121" s="20">
        <v>10000</v>
      </c>
      <c r="G121" s="21">
        <f t="shared" si="2"/>
        <v>1001164</v>
      </c>
      <c r="H121" s="3"/>
      <c r="J121" s="8"/>
    </row>
    <row r="122" spans="1:10" x14ac:dyDescent="0.2">
      <c r="A122" s="16"/>
      <c r="B122" s="23" t="s">
        <v>24</v>
      </c>
      <c r="C122" s="18" t="s">
        <v>18</v>
      </c>
      <c r="D122" s="18" t="s">
        <v>180</v>
      </c>
      <c r="E122" s="19"/>
      <c r="F122" s="20">
        <v>10000</v>
      </c>
      <c r="G122" s="21">
        <f t="shared" si="2"/>
        <v>991164</v>
      </c>
      <c r="H122" s="3">
        <v>50000000</v>
      </c>
      <c r="J122" s="8"/>
    </row>
    <row r="123" spans="1:10" x14ac:dyDescent="0.2">
      <c r="A123" s="16"/>
      <c r="B123" s="23" t="s">
        <v>24</v>
      </c>
      <c r="C123" s="18" t="s">
        <v>18</v>
      </c>
      <c r="D123" s="18" t="s">
        <v>181</v>
      </c>
      <c r="E123" s="33"/>
      <c r="F123" s="20">
        <v>10000</v>
      </c>
      <c r="G123" s="21">
        <f t="shared" si="2"/>
        <v>981164</v>
      </c>
      <c r="H123" s="3">
        <f>H122*0.025</f>
        <v>1250000</v>
      </c>
      <c r="J123" s="8"/>
    </row>
    <row r="124" spans="1:10" x14ac:dyDescent="0.2">
      <c r="A124" s="16">
        <v>45978</v>
      </c>
      <c r="B124" s="23" t="s">
        <v>24</v>
      </c>
      <c r="C124" s="18" t="s">
        <v>18</v>
      </c>
      <c r="D124" s="18" t="s">
        <v>182</v>
      </c>
      <c r="E124" s="19"/>
      <c r="F124" s="20">
        <v>50000</v>
      </c>
      <c r="G124" s="21">
        <f t="shared" si="2"/>
        <v>931164</v>
      </c>
      <c r="H124" s="3"/>
      <c r="J124" s="8"/>
    </row>
    <row r="125" spans="1:10" x14ac:dyDescent="0.2">
      <c r="A125" s="16"/>
      <c r="B125" s="23" t="s">
        <v>24</v>
      </c>
      <c r="C125" s="18" t="s">
        <v>18</v>
      </c>
      <c r="D125" s="18" t="s">
        <v>183</v>
      </c>
      <c r="E125" s="19"/>
      <c r="F125" s="20">
        <v>50000</v>
      </c>
      <c r="G125" s="21">
        <f t="shared" si="2"/>
        <v>881164</v>
      </c>
      <c r="H125" s="3"/>
      <c r="J125" s="8"/>
    </row>
    <row r="126" spans="1:10" x14ac:dyDescent="0.2">
      <c r="A126" s="16"/>
      <c r="B126" s="23" t="s">
        <v>34</v>
      </c>
      <c r="C126" s="18" t="s">
        <v>33</v>
      </c>
      <c r="D126" s="18" t="s">
        <v>184</v>
      </c>
      <c r="E126" s="19"/>
      <c r="F126" s="20">
        <v>70000</v>
      </c>
      <c r="G126" s="21">
        <f t="shared" si="2"/>
        <v>811164</v>
      </c>
      <c r="H126" s="3"/>
      <c r="J126" s="8"/>
    </row>
    <row r="127" spans="1:10" x14ac:dyDescent="0.2">
      <c r="A127" s="16"/>
      <c r="B127" s="23" t="s">
        <v>24</v>
      </c>
      <c r="C127" s="18" t="s">
        <v>18</v>
      </c>
      <c r="D127" s="18" t="s">
        <v>185</v>
      </c>
      <c r="E127" s="19"/>
      <c r="F127" s="20">
        <v>10000</v>
      </c>
      <c r="G127" s="21">
        <f t="shared" si="2"/>
        <v>801164</v>
      </c>
      <c r="H127" s="3"/>
      <c r="J127" s="8"/>
    </row>
    <row r="128" spans="1:10" x14ac:dyDescent="0.2">
      <c r="A128" s="16"/>
      <c r="B128" s="23" t="s">
        <v>24</v>
      </c>
      <c r="C128" s="18" t="s">
        <v>18</v>
      </c>
      <c r="D128" s="18" t="s">
        <v>186</v>
      </c>
      <c r="E128" s="19"/>
      <c r="F128" s="20">
        <v>10000</v>
      </c>
      <c r="G128" s="21">
        <f t="shared" si="2"/>
        <v>791164</v>
      </c>
      <c r="H128" s="3"/>
      <c r="J128" s="8"/>
    </row>
    <row r="129" spans="1:10" x14ac:dyDescent="0.2">
      <c r="A129" s="16"/>
      <c r="B129" s="23" t="s">
        <v>24</v>
      </c>
      <c r="C129" s="18" t="s">
        <v>18</v>
      </c>
      <c r="D129" s="18" t="s">
        <v>166</v>
      </c>
      <c r="E129" s="19"/>
      <c r="F129" s="20">
        <v>10000</v>
      </c>
      <c r="G129" s="21">
        <f t="shared" si="2"/>
        <v>781164</v>
      </c>
      <c r="H129" s="3"/>
      <c r="J129" s="8"/>
    </row>
    <row r="130" spans="1:10" x14ac:dyDescent="0.2">
      <c r="A130" s="16"/>
      <c r="B130" s="23" t="s">
        <v>24</v>
      </c>
      <c r="C130" s="18" t="s">
        <v>18</v>
      </c>
      <c r="D130" s="18" t="s">
        <v>188</v>
      </c>
      <c r="E130" s="19"/>
      <c r="F130" s="20">
        <v>10000</v>
      </c>
      <c r="G130" s="21">
        <f t="shared" si="2"/>
        <v>771164</v>
      </c>
      <c r="H130" s="3"/>
      <c r="J130" s="8"/>
    </row>
    <row r="131" spans="1:10" x14ac:dyDescent="0.2">
      <c r="A131" s="16">
        <v>45979</v>
      </c>
      <c r="B131" s="23" t="s">
        <v>24</v>
      </c>
      <c r="C131" s="18" t="s">
        <v>18</v>
      </c>
      <c r="D131" s="18" t="s">
        <v>80</v>
      </c>
      <c r="E131" s="19"/>
      <c r="F131" s="20">
        <v>10000</v>
      </c>
      <c r="G131" s="21">
        <f t="shared" si="2"/>
        <v>761164</v>
      </c>
      <c r="H131" s="3"/>
      <c r="J131" s="8"/>
    </row>
    <row r="132" spans="1:10" x14ac:dyDescent="0.2">
      <c r="A132" s="16"/>
      <c r="B132" s="23" t="s">
        <v>50</v>
      </c>
      <c r="C132" s="18" t="s">
        <v>49</v>
      </c>
      <c r="D132" s="18" t="s">
        <v>284</v>
      </c>
      <c r="E132" s="33"/>
      <c r="F132" s="20">
        <v>500000</v>
      </c>
      <c r="G132" s="21">
        <f t="shared" si="2"/>
        <v>261164</v>
      </c>
      <c r="H132" s="3"/>
      <c r="J132" s="8"/>
    </row>
    <row r="133" spans="1:10" x14ac:dyDescent="0.2">
      <c r="A133" s="16"/>
      <c r="B133" s="23"/>
      <c r="C133" s="18"/>
      <c r="D133" s="18" t="s">
        <v>62</v>
      </c>
      <c r="E133" s="33">
        <v>2000000</v>
      </c>
      <c r="F133" s="20"/>
      <c r="G133" s="21">
        <f t="shared" si="2"/>
        <v>2261164</v>
      </c>
      <c r="H133" s="3"/>
      <c r="J133" s="8"/>
    </row>
    <row r="134" spans="1:10" x14ac:dyDescent="0.2">
      <c r="A134" s="16"/>
      <c r="B134" s="17" t="s">
        <v>27</v>
      </c>
      <c r="C134" s="18" t="s">
        <v>32</v>
      </c>
      <c r="D134" s="18" t="s">
        <v>252</v>
      </c>
      <c r="E134" s="33"/>
      <c r="F134" s="20">
        <v>120000</v>
      </c>
      <c r="G134" s="21">
        <f t="shared" ref="G134:G197" si="3">G133+E134-F134</f>
        <v>2141164</v>
      </c>
      <c r="H134" s="3"/>
      <c r="J134" s="8"/>
    </row>
    <row r="135" spans="1:10" x14ac:dyDescent="0.2">
      <c r="A135" s="16"/>
      <c r="B135" s="17" t="s">
        <v>27</v>
      </c>
      <c r="C135" s="18" t="s">
        <v>32</v>
      </c>
      <c r="D135" s="18" t="s">
        <v>253</v>
      </c>
      <c r="E135" s="19"/>
      <c r="F135" s="20">
        <v>177500</v>
      </c>
      <c r="G135" s="21">
        <f t="shared" si="3"/>
        <v>1963664</v>
      </c>
      <c r="H135" s="3"/>
      <c r="J135" s="8"/>
    </row>
    <row r="136" spans="1:10" x14ac:dyDescent="0.2">
      <c r="A136" s="16"/>
      <c r="B136" s="17" t="s">
        <v>27</v>
      </c>
      <c r="C136" s="18" t="s">
        <v>32</v>
      </c>
      <c r="D136" s="18" t="s">
        <v>254</v>
      </c>
      <c r="E136" s="19"/>
      <c r="F136" s="20">
        <v>16000</v>
      </c>
      <c r="G136" s="21">
        <f t="shared" si="3"/>
        <v>1947664</v>
      </c>
      <c r="H136" s="3"/>
      <c r="J136" s="8"/>
    </row>
    <row r="137" spans="1:10" x14ac:dyDescent="0.2">
      <c r="A137" s="16"/>
      <c r="B137" s="17" t="s">
        <v>27</v>
      </c>
      <c r="C137" s="18" t="s">
        <v>32</v>
      </c>
      <c r="D137" s="18" t="s">
        <v>255</v>
      </c>
      <c r="E137" s="19"/>
      <c r="F137" s="20">
        <v>82500</v>
      </c>
      <c r="G137" s="21">
        <f t="shared" si="3"/>
        <v>1865164</v>
      </c>
      <c r="H137" s="3"/>
      <c r="J137" s="8"/>
    </row>
    <row r="138" spans="1:10" x14ac:dyDescent="0.2">
      <c r="A138" s="16"/>
      <c r="B138" s="17" t="s">
        <v>27</v>
      </c>
      <c r="C138" s="18" t="s">
        <v>32</v>
      </c>
      <c r="D138" s="18" t="s">
        <v>256</v>
      </c>
      <c r="E138" s="19"/>
      <c r="F138" s="20">
        <v>25500</v>
      </c>
      <c r="G138" s="21">
        <f t="shared" si="3"/>
        <v>1839664</v>
      </c>
      <c r="H138" s="3"/>
      <c r="J138" s="8"/>
    </row>
    <row r="139" spans="1:10" x14ac:dyDescent="0.2">
      <c r="A139" s="16"/>
      <c r="B139" s="17" t="s">
        <v>27</v>
      </c>
      <c r="C139" s="18" t="s">
        <v>32</v>
      </c>
      <c r="D139" s="18" t="s">
        <v>257</v>
      </c>
      <c r="E139" s="19"/>
      <c r="F139" s="20">
        <v>225000</v>
      </c>
      <c r="G139" s="21">
        <f t="shared" si="3"/>
        <v>1614664</v>
      </c>
      <c r="H139" s="3"/>
      <c r="J139" s="8"/>
    </row>
    <row r="140" spans="1:10" x14ac:dyDescent="0.2">
      <c r="A140" s="16"/>
      <c r="B140" s="17" t="s">
        <v>27</v>
      </c>
      <c r="C140" s="18" t="s">
        <v>32</v>
      </c>
      <c r="D140" s="18" t="s">
        <v>258</v>
      </c>
      <c r="E140" s="19"/>
      <c r="F140" s="20">
        <v>600000</v>
      </c>
      <c r="G140" s="21">
        <f t="shared" si="3"/>
        <v>1014664</v>
      </c>
      <c r="H140" s="3"/>
      <c r="J140" s="8"/>
    </row>
    <row r="141" spans="1:10" x14ac:dyDescent="0.2">
      <c r="A141" s="16"/>
      <c r="B141" s="17" t="s">
        <v>27</v>
      </c>
      <c r="C141" s="18" t="s">
        <v>32</v>
      </c>
      <c r="D141" s="18" t="s">
        <v>259</v>
      </c>
      <c r="E141" s="33"/>
      <c r="F141" s="20">
        <v>150000</v>
      </c>
      <c r="G141" s="21">
        <f t="shared" si="3"/>
        <v>864664</v>
      </c>
      <c r="H141" s="3"/>
      <c r="J141" s="8"/>
    </row>
    <row r="142" spans="1:10" x14ac:dyDescent="0.2">
      <c r="A142" s="16"/>
      <c r="B142" s="17" t="s">
        <v>27</v>
      </c>
      <c r="C142" s="18" t="s">
        <v>32</v>
      </c>
      <c r="D142" s="18" t="s">
        <v>260</v>
      </c>
      <c r="E142" s="19"/>
      <c r="F142" s="20">
        <v>24000</v>
      </c>
      <c r="G142" s="21">
        <f t="shared" si="3"/>
        <v>840664</v>
      </c>
      <c r="H142" s="3"/>
      <c r="J142" s="8"/>
    </row>
    <row r="143" spans="1:10" x14ac:dyDescent="0.2">
      <c r="A143" s="16"/>
      <c r="B143" s="17" t="s">
        <v>27</v>
      </c>
      <c r="C143" s="18" t="s">
        <v>32</v>
      </c>
      <c r="D143" s="18" t="s">
        <v>261</v>
      </c>
      <c r="E143" s="19"/>
      <c r="F143" s="20">
        <v>80000</v>
      </c>
      <c r="G143" s="21">
        <f t="shared" si="3"/>
        <v>760664</v>
      </c>
      <c r="H143" s="3">
        <v>1966000</v>
      </c>
      <c r="J143" s="8"/>
    </row>
    <row r="144" spans="1:10" x14ac:dyDescent="0.2">
      <c r="A144" s="16"/>
      <c r="B144" s="17" t="s">
        <v>27</v>
      </c>
      <c r="C144" s="18" t="s">
        <v>32</v>
      </c>
      <c r="D144" s="18" t="s">
        <v>261</v>
      </c>
      <c r="E144" s="19"/>
      <c r="F144" s="20">
        <v>80000</v>
      </c>
      <c r="G144" s="21">
        <f t="shared" si="3"/>
        <v>680664</v>
      </c>
      <c r="H144" s="3">
        <v>1000000</v>
      </c>
      <c r="J144" s="8"/>
    </row>
    <row r="145" spans="1:10" x14ac:dyDescent="0.2">
      <c r="A145" s="16">
        <v>45980</v>
      </c>
      <c r="B145" s="23"/>
      <c r="C145" s="18"/>
      <c r="D145" s="18" t="s">
        <v>62</v>
      </c>
      <c r="E145" s="19">
        <v>12200000</v>
      </c>
      <c r="F145" s="20"/>
      <c r="G145" s="21">
        <f t="shared" si="3"/>
        <v>12880664</v>
      </c>
      <c r="H145" s="3">
        <f>H143-H144</f>
        <v>966000</v>
      </c>
      <c r="J145" s="8"/>
    </row>
    <row r="146" spans="1:10" x14ac:dyDescent="0.2">
      <c r="A146" s="16"/>
      <c r="B146" s="23" t="s">
        <v>51</v>
      </c>
      <c r="C146" s="18" t="s">
        <v>43</v>
      </c>
      <c r="D146" s="18" t="s">
        <v>207</v>
      </c>
      <c r="E146" s="19"/>
      <c r="F146" s="20">
        <v>8000000</v>
      </c>
      <c r="G146" s="21">
        <f t="shared" si="3"/>
        <v>4880664</v>
      </c>
      <c r="H146" s="3"/>
      <c r="I146" s="8"/>
      <c r="J146" s="8"/>
    </row>
    <row r="147" spans="1:10" x14ac:dyDescent="0.2">
      <c r="A147" s="16"/>
      <c r="B147" s="23" t="s">
        <v>50</v>
      </c>
      <c r="C147" s="18" t="s">
        <v>49</v>
      </c>
      <c r="D147" s="18" t="s">
        <v>208</v>
      </c>
      <c r="E147" s="19"/>
      <c r="F147" s="20">
        <v>1000000</v>
      </c>
      <c r="G147" s="21">
        <f t="shared" si="3"/>
        <v>3880664</v>
      </c>
      <c r="H147" s="3"/>
      <c r="I147" s="8"/>
      <c r="J147" s="8"/>
    </row>
    <row r="148" spans="1:10" x14ac:dyDescent="0.2">
      <c r="A148" s="16"/>
      <c r="B148" s="17" t="s">
        <v>27</v>
      </c>
      <c r="C148" s="18" t="s">
        <v>32</v>
      </c>
      <c r="D148" s="18" t="s">
        <v>209</v>
      </c>
      <c r="E148" s="19"/>
      <c r="F148" s="20">
        <v>1251000</v>
      </c>
      <c r="G148" s="21">
        <f t="shared" si="3"/>
        <v>2629664</v>
      </c>
      <c r="H148" s="3"/>
      <c r="I148" s="4"/>
      <c r="J148" s="8"/>
    </row>
    <row r="149" spans="1:10" x14ac:dyDescent="0.2">
      <c r="A149" s="16"/>
      <c r="B149" s="23" t="s">
        <v>24</v>
      </c>
      <c r="C149" s="18" t="s">
        <v>18</v>
      </c>
      <c r="D149" s="18" t="s">
        <v>210</v>
      </c>
      <c r="E149" s="19"/>
      <c r="F149" s="20">
        <v>40000</v>
      </c>
      <c r="G149" s="21">
        <f t="shared" si="3"/>
        <v>2589664</v>
      </c>
      <c r="H149" s="3"/>
      <c r="J149" s="8"/>
    </row>
    <row r="150" spans="1:10" x14ac:dyDescent="0.2">
      <c r="A150" s="16"/>
      <c r="B150" s="23" t="s">
        <v>24</v>
      </c>
      <c r="C150" s="18" t="s">
        <v>18</v>
      </c>
      <c r="D150" s="18" t="s">
        <v>91</v>
      </c>
      <c r="E150" s="19"/>
      <c r="F150" s="20">
        <v>56000</v>
      </c>
      <c r="G150" s="21">
        <f t="shared" si="3"/>
        <v>2533664</v>
      </c>
      <c r="H150" s="3"/>
      <c r="J150" s="8"/>
    </row>
    <row r="151" spans="1:10" x14ac:dyDescent="0.2">
      <c r="A151" s="16"/>
      <c r="B151" s="23" t="s">
        <v>31</v>
      </c>
      <c r="C151" s="18" t="s">
        <v>15</v>
      </c>
      <c r="D151" s="18" t="s">
        <v>219</v>
      </c>
      <c r="E151" s="33"/>
      <c r="F151" s="20">
        <v>150000</v>
      </c>
      <c r="G151" s="21">
        <f t="shared" si="3"/>
        <v>2383664</v>
      </c>
      <c r="H151" s="3"/>
      <c r="J151" s="8"/>
    </row>
    <row r="152" spans="1:10" x14ac:dyDescent="0.2">
      <c r="A152" s="16"/>
      <c r="B152" s="17" t="s">
        <v>27</v>
      </c>
      <c r="C152" s="18" t="s">
        <v>32</v>
      </c>
      <c r="D152" s="18" t="s">
        <v>220</v>
      </c>
      <c r="E152" s="19"/>
      <c r="F152" s="20">
        <v>50000</v>
      </c>
      <c r="G152" s="21">
        <f t="shared" si="3"/>
        <v>2333664</v>
      </c>
      <c r="H152" s="3"/>
      <c r="J152" s="8"/>
    </row>
    <row r="153" spans="1:10" x14ac:dyDescent="0.2">
      <c r="A153" s="16"/>
      <c r="B153" s="17" t="s">
        <v>27</v>
      </c>
      <c r="C153" s="18" t="s">
        <v>32</v>
      </c>
      <c r="D153" s="18" t="s">
        <v>221</v>
      </c>
      <c r="E153" s="19"/>
      <c r="F153" s="20">
        <v>94250</v>
      </c>
      <c r="G153" s="21">
        <f t="shared" si="3"/>
        <v>2239414</v>
      </c>
      <c r="H153" s="3"/>
      <c r="J153" s="8"/>
    </row>
    <row r="154" spans="1:10" x14ac:dyDescent="0.2">
      <c r="A154" s="16"/>
      <c r="B154" s="17" t="s">
        <v>27</v>
      </c>
      <c r="C154" s="18" t="s">
        <v>32</v>
      </c>
      <c r="D154" s="18" t="s">
        <v>225</v>
      </c>
      <c r="E154" s="19"/>
      <c r="F154" s="20">
        <v>470000</v>
      </c>
      <c r="G154" s="21">
        <f t="shared" si="3"/>
        <v>1769414</v>
      </c>
      <c r="H154" s="3"/>
      <c r="J154" s="8"/>
    </row>
    <row r="155" spans="1:10" x14ac:dyDescent="0.2">
      <c r="A155" s="16">
        <v>45981</v>
      </c>
      <c r="B155" s="23"/>
      <c r="C155" s="18"/>
      <c r="D155" s="18" t="s">
        <v>62</v>
      </c>
      <c r="E155" s="19">
        <v>9100000</v>
      </c>
      <c r="F155" s="20"/>
      <c r="G155" s="21">
        <f t="shared" si="3"/>
        <v>10869414</v>
      </c>
      <c r="H155" s="3"/>
      <c r="J155" s="8"/>
    </row>
    <row r="156" spans="1:10" x14ac:dyDescent="0.2">
      <c r="A156" s="16"/>
      <c r="B156" s="17" t="s">
        <v>27</v>
      </c>
      <c r="C156" s="18" t="s">
        <v>32</v>
      </c>
      <c r="D156" s="18" t="s">
        <v>226</v>
      </c>
      <c r="E156" s="19"/>
      <c r="F156" s="20">
        <v>92000</v>
      </c>
      <c r="G156" s="21">
        <f t="shared" si="3"/>
        <v>10777414</v>
      </c>
      <c r="H156" s="3"/>
      <c r="J156" s="8"/>
    </row>
    <row r="157" spans="1:10" x14ac:dyDescent="0.2">
      <c r="A157" s="16"/>
      <c r="B157" s="17" t="s">
        <v>27</v>
      </c>
      <c r="C157" s="18" t="s">
        <v>32</v>
      </c>
      <c r="D157" s="18" t="s">
        <v>227</v>
      </c>
      <c r="E157" s="19"/>
      <c r="F157" s="20">
        <v>36000</v>
      </c>
      <c r="G157" s="21">
        <f t="shared" si="3"/>
        <v>10741414</v>
      </c>
      <c r="H157" s="3"/>
      <c r="J157" s="8"/>
    </row>
    <row r="158" spans="1:10" x14ac:dyDescent="0.2">
      <c r="A158" s="16"/>
      <c r="B158" s="17" t="s">
        <v>27</v>
      </c>
      <c r="C158" s="18" t="s">
        <v>32</v>
      </c>
      <c r="D158" s="18" t="s">
        <v>228</v>
      </c>
      <c r="E158" s="18"/>
      <c r="F158" s="20">
        <v>60000</v>
      </c>
      <c r="G158" s="21">
        <f t="shared" si="3"/>
        <v>10681414</v>
      </c>
      <c r="H158" s="3"/>
      <c r="J158" s="8"/>
    </row>
    <row r="159" spans="1:10" x14ac:dyDescent="0.2">
      <c r="A159" s="16"/>
      <c r="B159" s="17" t="s">
        <v>27</v>
      </c>
      <c r="C159" s="18" t="s">
        <v>32</v>
      </c>
      <c r="D159" s="18" t="s">
        <v>229</v>
      </c>
      <c r="E159" s="19"/>
      <c r="F159" s="20">
        <v>44000</v>
      </c>
      <c r="G159" s="21">
        <f t="shared" si="3"/>
        <v>10637414</v>
      </c>
      <c r="H159" s="3"/>
      <c r="I159" s="8"/>
      <c r="J159" s="8"/>
    </row>
    <row r="160" spans="1:10" x14ac:dyDescent="0.2">
      <c r="A160" s="16"/>
      <c r="B160" s="17" t="s">
        <v>27</v>
      </c>
      <c r="C160" s="18" t="s">
        <v>32</v>
      </c>
      <c r="D160" s="18" t="s">
        <v>230</v>
      </c>
      <c r="E160" s="35"/>
      <c r="F160" s="53">
        <v>30000</v>
      </c>
      <c r="G160" s="21">
        <f t="shared" si="3"/>
        <v>10607414</v>
      </c>
      <c r="H160" s="3"/>
      <c r="I160" s="3"/>
      <c r="J160" s="8"/>
    </row>
    <row r="161" spans="1:10" x14ac:dyDescent="0.2">
      <c r="A161" s="16"/>
      <c r="B161" s="23" t="s">
        <v>24</v>
      </c>
      <c r="C161" s="18" t="s">
        <v>18</v>
      </c>
      <c r="D161" s="18" t="s">
        <v>79</v>
      </c>
      <c r="E161" s="35"/>
      <c r="F161" s="53">
        <v>32300</v>
      </c>
      <c r="G161" s="21">
        <f t="shared" si="3"/>
        <v>10575114</v>
      </c>
      <c r="H161" s="3"/>
      <c r="J161" s="8"/>
    </row>
    <row r="162" spans="1:10" x14ac:dyDescent="0.2">
      <c r="A162" s="16"/>
      <c r="B162" s="17" t="s">
        <v>27</v>
      </c>
      <c r="C162" s="18" t="s">
        <v>32</v>
      </c>
      <c r="D162" s="18" t="s">
        <v>231</v>
      </c>
      <c r="E162" s="35"/>
      <c r="F162" s="53">
        <v>1100000</v>
      </c>
      <c r="G162" s="21">
        <f t="shared" si="3"/>
        <v>9475114</v>
      </c>
      <c r="H162" s="3"/>
      <c r="J162" s="8"/>
    </row>
    <row r="163" spans="1:10" x14ac:dyDescent="0.2">
      <c r="A163" s="16"/>
      <c r="B163" s="17" t="s">
        <v>27</v>
      </c>
      <c r="C163" s="18" t="s">
        <v>32</v>
      </c>
      <c r="D163" s="18" t="s">
        <v>232</v>
      </c>
      <c r="E163" s="19"/>
      <c r="F163" s="20">
        <v>110000</v>
      </c>
      <c r="G163" s="21">
        <f t="shared" si="3"/>
        <v>9365114</v>
      </c>
      <c r="H163" s="3"/>
      <c r="J163" s="8"/>
    </row>
    <row r="164" spans="1:10" x14ac:dyDescent="0.2">
      <c r="A164" s="16"/>
      <c r="B164" s="17" t="s">
        <v>27</v>
      </c>
      <c r="C164" s="18" t="s">
        <v>32</v>
      </c>
      <c r="D164" s="18" t="s">
        <v>233</v>
      </c>
      <c r="E164" s="19"/>
      <c r="F164" s="20">
        <v>2240000</v>
      </c>
      <c r="G164" s="21">
        <f t="shared" si="3"/>
        <v>7125114</v>
      </c>
      <c r="H164" s="3"/>
      <c r="J164" s="8"/>
    </row>
    <row r="165" spans="1:10" x14ac:dyDescent="0.2">
      <c r="A165" s="16"/>
      <c r="B165" s="23" t="s">
        <v>50</v>
      </c>
      <c r="C165" s="18" t="s">
        <v>49</v>
      </c>
      <c r="D165" s="18" t="s">
        <v>234</v>
      </c>
      <c r="E165" s="19"/>
      <c r="F165" s="20">
        <v>300000</v>
      </c>
      <c r="G165" s="21">
        <f t="shared" si="3"/>
        <v>6825114</v>
      </c>
      <c r="H165" s="3"/>
      <c r="J165" s="8"/>
    </row>
    <row r="166" spans="1:10" x14ac:dyDescent="0.2">
      <c r="A166" s="16"/>
      <c r="B166" s="23" t="s">
        <v>31</v>
      </c>
      <c r="C166" s="18" t="s">
        <v>15</v>
      </c>
      <c r="D166" s="18" t="s">
        <v>235</v>
      </c>
      <c r="E166" s="19"/>
      <c r="F166" s="20">
        <v>100000</v>
      </c>
      <c r="G166" s="21">
        <f t="shared" si="3"/>
        <v>6725114</v>
      </c>
      <c r="H166" s="3"/>
      <c r="J166" s="8"/>
    </row>
    <row r="167" spans="1:10" x14ac:dyDescent="0.2">
      <c r="A167" s="16"/>
      <c r="B167" s="23" t="s">
        <v>51</v>
      </c>
      <c r="C167" s="18" t="s">
        <v>43</v>
      </c>
      <c r="D167" s="18" t="s">
        <v>236</v>
      </c>
      <c r="E167" s="19"/>
      <c r="F167" s="20">
        <v>100000</v>
      </c>
      <c r="G167" s="21">
        <f t="shared" si="3"/>
        <v>6625114</v>
      </c>
      <c r="H167" s="3"/>
      <c r="J167" s="8"/>
    </row>
    <row r="168" spans="1:10" x14ac:dyDescent="0.2">
      <c r="A168" s="16"/>
      <c r="B168" s="23" t="s">
        <v>31</v>
      </c>
      <c r="C168" s="18" t="s">
        <v>15</v>
      </c>
      <c r="D168" s="18" t="s">
        <v>237</v>
      </c>
      <c r="E168" s="19"/>
      <c r="F168" s="20">
        <v>250000</v>
      </c>
      <c r="G168" s="21">
        <f t="shared" si="3"/>
        <v>6375114</v>
      </c>
      <c r="H168" s="3"/>
      <c r="J168" s="8"/>
    </row>
    <row r="169" spans="1:10" x14ac:dyDescent="0.2">
      <c r="A169" s="16"/>
      <c r="B169" s="23" t="s">
        <v>31</v>
      </c>
      <c r="C169" s="18" t="s">
        <v>15</v>
      </c>
      <c r="D169" s="18" t="s">
        <v>240</v>
      </c>
      <c r="E169" s="19"/>
      <c r="F169" s="20">
        <v>80000</v>
      </c>
      <c r="G169" s="21">
        <f t="shared" si="3"/>
        <v>6295114</v>
      </c>
      <c r="H169" s="3"/>
      <c r="J169" s="8"/>
    </row>
    <row r="170" spans="1:10" x14ac:dyDescent="0.2">
      <c r="A170" s="16"/>
      <c r="B170" s="17" t="s">
        <v>27</v>
      </c>
      <c r="C170" s="18" t="s">
        <v>32</v>
      </c>
      <c r="D170" s="18" t="s">
        <v>262</v>
      </c>
      <c r="E170" s="19"/>
      <c r="F170" s="20">
        <v>195000</v>
      </c>
      <c r="G170" s="21">
        <f t="shared" si="3"/>
        <v>6100114</v>
      </c>
      <c r="H170" s="3"/>
      <c r="J170" s="8"/>
    </row>
    <row r="171" spans="1:10" x14ac:dyDescent="0.2">
      <c r="A171" s="16"/>
      <c r="B171" s="17" t="s">
        <v>27</v>
      </c>
      <c r="C171" s="18" t="s">
        <v>32</v>
      </c>
      <c r="D171" s="18" t="s">
        <v>263</v>
      </c>
      <c r="E171" s="35"/>
      <c r="F171" s="53">
        <v>255000</v>
      </c>
      <c r="G171" s="21">
        <f t="shared" si="3"/>
        <v>5845114</v>
      </c>
      <c r="H171" s="3"/>
      <c r="J171" s="8"/>
    </row>
    <row r="172" spans="1:10" x14ac:dyDescent="0.2">
      <c r="A172" s="16"/>
      <c r="B172" s="17" t="s">
        <v>27</v>
      </c>
      <c r="C172" s="18" t="s">
        <v>32</v>
      </c>
      <c r="D172" s="18" t="s">
        <v>264</v>
      </c>
      <c r="E172" s="35"/>
      <c r="F172" s="34">
        <v>1386000</v>
      </c>
      <c r="G172" s="21">
        <f t="shared" si="3"/>
        <v>4459114</v>
      </c>
      <c r="H172" s="3"/>
      <c r="J172" s="8"/>
    </row>
    <row r="173" spans="1:10" x14ac:dyDescent="0.2">
      <c r="A173" s="16"/>
      <c r="B173" s="17" t="s">
        <v>27</v>
      </c>
      <c r="C173" s="18" t="s">
        <v>32</v>
      </c>
      <c r="D173" s="18" t="s">
        <v>265</v>
      </c>
      <c r="E173" s="35"/>
      <c r="F173" s="34">
        <v>100000</v>
      </c>
      <c r="G173" s="21">
        <f t="shared" si="3"/>
        <v>4359114</v>
      </c>
      <c r="H173" s="3"/>
      <c r="J173" s="8"/>
    </row>
    <row r="174" spans="1:10" x14ac:dyDescent="0.2">
      <c r="A174" s="16"/>
      <c r="B174" s="17" t="s">
        <v>27</v>
      </c>
      <c r="C174" s="18" t="s">
        <v>32</v>
      </c>
      <c r="D174" s="18" t="s">
        <v>266</v>
      </c>
      <c r="E174" s="19"/>
      <c r="F174" s="20">
        <v>120000</v>
      </c>
      <c r="G174" s="21">
        <f t="shared" si="3"/>
        <v>4239114</v>
      </c>
      <c r="H174" s="3"/>
      <c r="J174" s="8"/>
    </row>
    <row r="175" spans="1:10" x14ac:dyDescent="0.2">
      <c r="A175" s="16"/>
      <c r="B175" s="17" t="s">
        <v>27</v>
      </c>
      <c r="C175" s="18" t="s">
        <v>32</v>
      </c>
      <c r="D175" s="18" t="s">
        <v>267</v>
      </c>
      <c r="E175" s="19"/>
      <c r="F175" s="20">
        <v>45000</v>
      </c>
      <c r="G175" s="21">
        <f t="shared" si="3"/>
        <v>4194114</v>
      </c>
      <c r="H175" s="3"/>
      <c r="J175" s="8"/>
    </row>
    <row r="176" spans="1:10" x14ac:dyDescent="0.2">
      <c r="A176" s="16"/>
      <c r="B176" s="17" t="s">
        <v>27</v>
      </c>
      <c r="C176" s="18" t="s">
        <v>32</v>
      </c>
      <c r="D176" s="18" t="s">
        <v>268</v>
      </c>
      <c r="E176" s="19"/>
      <c r="F176" s="20">
        <v>60000</v>
      </c>
      <c r="G176" s="21">
        <f t="shared" si="3"/>
        <v>4134114</v>
      </c>
      <c r="H176" s="3"/>
      <c r="J176" s="8"/>
    </row>
    <row r="177" spans="1:10" x14ac:dyDescent="0.2">
      <c r="A177" s="16">
        <v>45982</v>
      </c>
      <c r="B177" s="23"/>
      <c r="C177" s="18"/>
      <c r="D177" s="18" t="s">
        <v>62</v>
      </c>
      <c r="E177" s="19">
        <v>1000000</v>
      </c>
      <c r="F177" s="20"/>
      <c r="G177" s="21">
        <f t="shared" si="3"/>
        <v>5134114</v>
      </c>
      <c r="H177" s="3"/>
      <c r="J177" s="8"/>
    </row>
    <row r="178" spans="1:10" x14ac:dyDescent="0.2">
      <c r="A178" s="16"/>
      <c r="B178" s="23" t="s">
        <v>31</v>
      </c>
      <c r="C178" s="18" t="s">
        <v>15</v>
      </c>
      <c r="D178" s="18" t="s">
        <v>241</v>
      </c>
      <c r="E178" s="19"/>
      <c r="F178" s="20">
        <v>300000</v>
      </c>
      <c r="G178" s="21">
        <f t="shared" si="3"/>
        <v>4834114</v>
      </c>
      <c r="H178" s="3"/>
      <c r="J178" s="8"/>
    </row>
    <row r="179" spans="1:10" x14ac:dyDescent="0.2">
      <c r="A179" s="16"/>
      <c r="B179" s="17" t="s">
        <v>27</v>
      </c>
      <c r="C179" s="18" t="s">
        <v>32</v>
      </c>
      <c r="D179" s="18" t="s">
        <v>245</v>
      </c>
      <c r="E179" s="19"/>
      <c r="F179" s="20">
        <v>100000</v>
      </c>
      <c r="G179" s="21">
        <f t="shared" si="3"/>
        <v>4734114</v>
      </c>
      <c r="H179" s="3"/>
      <c r="J179" s="8"/>
    </row>
    <row r="180" spans="1:10" x14ac:dyDescent="0.2">
      <c r="A180" s="16"/>
      <c r="B180" s="17" t="s">
        <v>27</v>
      </c>
      <c r="C180" s="18" t="s">
        <v>32</v>
      </c>
      <c r="D180" s="18" t="s">
        <v>246</v>
      </c>
      <c r="E180" s="19"/>
      <c r="F180" s="20">
        <v>7000</v>
      </c>
      <c r="G180" s="21">
        <f t="shared" si="3"/>
        <v>4727114</v>
      </c>
      <c r="H180" s="3"/>
      <c r="J180" s="8"/>
    </row>
    <row r="181" spans="1:10" x14ac:dyDescent="0.2">
      <c r="A181" s="16"/>
      <c r="B181" s="17" t="s">
        <v>27</v>
      </c>
      <c r="C181" s="18" t="s">
        <v>32</v>
      </c>
      <c r="D181" s="18" t="s">
        <v>247</v>
      </c>
      <c r="E181" s="19"/>
      <c r="F181" s="20">
        <v>31500</v>
      </c>
      <c r="G181" s="21">
        <f t="shared" si="3"/>
        <v>4695614</v>
      </c>
      <c r="H181" s="3"/>
      <c r="J181" s="8"/>
    </row>
    <row r="182" spans="1:10" x14ac:dyDescent="0.2">
      <c r="A182" s="16"/>
      <c r="B182" s="17" t="s">
        <v>27</v>
      </c>
      <c r="C182" s="18" t="s">
        <v>32</v>
      </c>
      <c r="D182" s="18" t="s">
        <v>248</v>
      </c>
      <c r="E182" s="19"/>
      <c r="F182" s="20">
        <v>6000</v>
      </c>
      <c r="G182" s="21">
        <f t="shared" si="3"/>
        <v>4689614</v>
      </c>
      <c r="H182" s="3"/>
      <c r="J182" s="8"/>
    </row>
    <row r="183" spans="1:10" x14ac:dyDescent="0.2">
      <c r="A183" s="16"/>
      <c r="B183" s="17" t="s">
        <v>27</v>
      </c>
      <c r="C183" s="18" t="s">
        <v>32</v>
      </c>
      <c r="D183" s="18" t="s">
        <v>249</v>
      </c>
      <c r="E183" s="19"/>
      <c r="F183" s="20">
        <v>5000</v>
      </c>
      <c r="G183" s="21">
        <f t="shared" si="3"/>
        <v>4684614</v>
      </c>
      <c r="H183" s="3"/>
      <c r="J183" s="8"/>
    </row>
    <row r="184" spans="1:10" x14ac:dyDescent="0.2">
      <c r="A184" s="16"/>
      <c r="B184" s="17" t="s">
        <v>27</v>
      </c>
      <c r="C184" s="18" t="s">
        <v>32</v>
      </c>
      <c r="D184" s="18" t="s">
        <v>250</v>
      </c>
      <c r="E184" s="18"/>
      <c r="F184" s="20">
        <v>115000</v>
      </c>
      <c r="G184" s="21">
        <f t="shared" si="3"/>
        <v>4569614</v>
      </c>
      <c r="H184" s="3"/>
      <c r="J184" s="8"/>
    </row>
    <row r="185" spans="1:10" x14ac:dyDescent="0.2">
      <c r="A185" s="16"/>
      <c r="B185" s="23" t="s">
        <v>24</v>
      </c>
      <c r="C185" s="18" t="s">
        <v>18</v>
      </c>
      <c r="D185" s="18" t="s">
        <v>251</v>
      </c>
      <c r="E185" s="19"/>
      <c r="F185" s="20">
        <v>10000</v>
      </c>
      <c r="G185" s="21">
        <f t="shared" si="3"/>
        <v>4559614</v>
      </c>
      <c r="H185" s="3"/>
      <c r="J185" s="8"/>
    </row>
    <row r="186" spans="1:10" x14ac:dyDescent="0.2">
      <c r="A186" s="16"/>
      <c r="B186" s="17" t="s">
        <v>27</v>
      </c>
      <c r="C186" s="18" t="s">
        <v>32</v>
      </c>
      <c r="D186" s="18" t="s">
        <v>269</v>
      </c>
      <c r="E186" s="19"/>
      <c r="F186" s="20">
        <v>190000</v>
      </c>
      <c r="G186" s="21">
        <f t="shared" si="3"/>
        <v>4369614</v>
      </c>
      <c r="H186" s="3"/>
      <c r="J186" s="8"/>
    </row>
    <row r="187" spans="1:10" x14ac:dyDescent="0.2">
      <c r="A187" s="16"/>
      <c r="B187" s="17" t="s">
        <v>27</v>
      </c>
      <c r="C187" s="18" t="s">
        <v>32</v>
      </c>
      <c r="D187" s="18" t="s">
        <v>270</v>
      </c>
      <c r="E187" s="19"/>
      <c r="F187" s="20">
        <v>300000</v>
      </c>
      <c r="G187" s="21">
        <f t="shared" si="3"/>
        <v>4069614</v>
      </c>
      <c r="H187" s="3"/>
      <c r="J187" s="8"/>
    </row>
    <row r="188" spans="1:10" x14ac:dyDescent="0.2">
      <c r="A188" s="16"/>
      <c r="B188" s="17" t="s">
        <v>27</v>
      </c>
      <c r="C188" s="18" t="s">
        <v>32</v>
      </c>
      <c r="D188" s="18" t="s">
        <v>271</v>
      </c>
      <c r="E188" s="19"/>
      <c r="F188" s="20">
        <v>45000</v>
      </c>
      <c r="G188" s="21">
        <f t="shared" si="3"/>
        <v>4024614</v>
      </c>
      <c r="H188" s="3"/>
      <c r="J188" s="8"/>
    </row>
    <row r="189" spans="1:10" x14ac:dyDescent="0.2">
      <c r="A189" s="16"/>
      <c r="B189" s="17" t="s">
        <v>27</v>
      </c>
      <c r="C189" s="18" t="s">
        <v>32</v>
      </c>
      <c r="D189" s="18" t="s">
        <v>272</v>
      </c>
      <c r="E189" s="19"/>
      <c r="F189" s="20">
        <v>75000</v>
      </c>
      <c r="G189" s="21">
        <f t="shared" si="3"/>
        <v>3949614</v>
      </c>
      <c r="H189" s="3"/>
      <c r="J189" s="8"/>
    </row>
    <row r="190" spans="1:10" x14ac:dyDescent="0.2">
      <c r="A190" s="16"/>
      <c r="B190" s="17" t="s">
        <v>27</v>
      </c>
      <c r="C190" s="18" t="s">
        <v>32</v>
      </c>
      <c r="D190" s="18" t="s">
        <v>273</v>
      </c>
      <c r="E190" s="18"/>
      <c r="F190" s="20">
        <v>240000</v>
      </c>
      <c r="G190" s="21">
        <f t="shared" si="3"/>
        <v>3709614</v>
      </c>
      <c r="H190" s="3"/>
      <c r="J190" s="8"/>
    </row>
    <row r="191" spans="1:10" x14ac:dyDescent="0.2">
      <c r="A191" s="16"/>
      <c r="B191" s="17" t="s">
        <v>27</v>
      </c>
      <c r="C191" s="18" t="s">
        <v>32</v>
      </c>
      <c r="D191" s="18" t="s">
        <v>274</v>
      </c>
      <c r="E191" s="19"/>
      <c r="F191" s="20">
        <v>60000</v>
      </c>
      <c r="G191" s="21">
        <f t="shared" si="3"/>
        <v>3649614</v>
      </c>
      <c r="H191" s="3"/>
      <c r="J191" s="8"/>
    </row>
    <row r="192" spans="1:10" x14ac:dyDescent="0.2">
      <c r="A192" s="16"/>
      <c r="B192" s="17" t="s">
        <v>27</v>
      </c>
      <c r="C192" s="18" t="s">
        <v>32</v>
      </c>
      <c r="D192" s="18" t="s">
        <v>275</v>
      </c>
      <c r="E192" s="19"/>
      <c r="F192" s="20">
        <v>75000</v>
      </c>
      <c r="G192" s="21">
        <f t="shared" si="3"/>
        <v>3574614</v>
      </c>
      <c r="H192" s="3"/>
      <c r="J192" s="8"/>
    </row>
    <row r="193" spans="1:10" x14ac:dyDescent="0.2">
      <c r="A193" s="16"/>
      <c r="B193" s="17" t="s">
        <v>27</v>
      </c>
      <c r="C193" s="18" t="s">
        <v>32</v>
      </c>
      <c r="D193" s="18" t="s">
        <v>276</v>
      </c>
      <c r="E193" s="19"/>
      <c r="F193" s="20">
        <v>250000</v>
      </c>
      <c r="G193" s="21">
        <f t="shared" si="3"/>
        <v>3324614</v>
      </c>
      <c r="H193" s="3"/>
      <c r="J193" s="8"/>
    </row>
    <row r="194" spans="1:10" x14ac:dyDescent="0.2">
      <c r="A194" s="16"/>
      <c r="B194" s="17" t="s">
        <v>27</v>
      </c>
      <c r="C194" s="18" t="s">
        <v>32</v>
      </c>
      <c r="D194" s="18" t="s">
        <v>86</v>
      </c>
      <c r="E194" s="33"/>
      <c r="F194" s="20">
        <v>500000</v>
      </c>
      <c r="G194" s="21">
        <f t="shared" si="3"/>
        <v>2824614</v>
      </c>
      <c r="H194" s="3"/>
      <c r="J194" s="8"/>
    </row>
    <row r="195" spans="1:10" x14ac:dyDescent="0.2">
      <c r="A195" s="16"/>
      <c r="B195" s="17" t="s">
        <v>27</v>
      </c>
      <c r="C195" s="18" t="s">
        <v>32</v>
      </c>
      <c r="D195" s="18" t="s">
        <v>277</v>
      </c>
      <c r="E195" s="19"/>
      <c r="F195" s="20">
        <v>30000</v>
      </c>
      <c r="G195" s="21">
        <f t="shared" si="3"/>
        <v>2794614</v>
      </c>
      <c r="H195" s="3"/>
      <c r="J195" s="8"/>
    </row>
    <row r="196" spans="1:10" x14ac:dyDescent="0.2">
      <c r="A196" s="16"/>
      <c r="B196" s="17" t="s">
        <v>27</v>
      </c>
      <c r="C196" s="18" t="s">
        <v>32</v>
      </c>
      <c r="D196" s="18" t="s">
        <v>278</v>
      </c>
      <c r="E196" s="19"/>
      <c r="F196" s="20">
        <v>100000</v>
      </c>
      <c r="G196" s="21">
        <f t="shared" si="3"/>
        <v>2694614</v>
      </c>
      <c r="H196" s="3"/>
      <c r="J196" s="8"/>
    </row>
    <row r="197" spans="1:10" x14ac:dyDescent="0.2">
      <c r="A197" s="16"/>
      <c r="B197" s="17" t="s">
        <v>27</v>
      </c>
      <c r="C197" s="18" t="s">
        <v>32</v>
      </c>
      <c r="D197" s="18" t="s">
        <v>279</v>
      </c>
      <c r="E197" s="19"/>
      <c r="F197" s="20">
        <v>400000</v>
      </c>
      <c r="G197" s="21">
        <f t="shared" si="3"/>
        <v>2294614</v>
      </c>
      <c r="H197" s="3"/>
      <c r="J197" s="8"/>
    </row>
    <row r="198" spans="1:10" x14ac:dyDescent="0.2">
      <c r="A198" s="16"/>
      <c r="B198" s="17" t="s">
        <v>27</v>
      </c>
      <c r="C198" s="18" t="s">
        <v>32</v>
      </c>
      <c r="D198" s="18" t="s">
        <v>280</v>
      </c>
      <c r="E198" s="19"/>
      <c r="F198" s="20">
        <v>300000</v>
      </c>
      <c r="G198" s="21">
        <f t="shared" ref="G198:G230" si="4">G197+E198-F198</f>
        <v>1994614</v>
      </c>
      <c r="H198" s="3"/>
      <c r="J198" s="8"/>
    </row>
    <row r="199" spans="1:10" x14ac:dyDescent="0.2">
      <c r="A199" s="16">
        <v>45985</v>
      </c>
      <c r="B199" s="23" t="s">
        <v>31</v>
      </c>
      <c r="C199" s="18" t="s">
        <v>15</v>
      </c>
      <c r="D199" s="18" t="s">
        <v>281</v>
      </c>
      <c r="E199" s="19"/>
      <c r="F199" s="20">
        <v>400000</v>
      </c>
      <c r="G199" s="21">
        <f t="shared" si="4"/>
        <v>1594614</v>
      </c>
      <c r="H199" s="3"/>
      <c r="J199" s="8"/>
    </row>
    <row r="200" spans="1:10" x14ac:dyDescent="0.2">
      <c r="A200" s="16"/>
      <c r="B200" s="23" t="s">
        <v>50</v>
      </c>
      <c r="C200" s="18" t="s">
        <v>49</v>
      </c>
      <c r="D200" s="18" t="s">
        <v>282</v>
      </c>
      <c r="E200" s="19"/>
      <c r="F200" s="20">
        <v>300000</v>
      </c>
      <c r="G200" s="21">
        <f t="shared" si="4"/>
        <v>1294614</v>
      </c>
      <c r="H200" s="3"/>
      <c r="J200" s="8"/>
    </row>
    <row r="201" spans="1:10" x14ac:dyDescent="0.2">
      <c r="A201" s="16"/>
      <c r="B201" s="17"/>
      <c r="C201" s="18"/>
      <c r="D201" s="18" t="s">
        <v>62</v>
      </c>
      <c r="E201" s="19">
        <f>1000000+223000</f>
        <v>1223000</v>
      </c>
      <c r="F201" s="20"/>
      <c r="G201" s="21">
        <f t="shared" si="4"/>
        <v>2517614</v>
      </c>
      <c r="H201" s="3"/>
      <c r="J201" s="8"/>
    </row>
    <row r="202" spans="1:10" x14ac:dyDescent="0.2">
      <c r="A202" s="16"/>
      <c r="B202" s="23" t="s">
        <v>30</v>
      </c>
      <c r="C202" s="18" t="s">
        <v>17</v>
      </c>
      <c r="D202" s="18" t="s">
        <v>283</v>
      </c>
      <c r="E202" s="19"/>
      <c r="F202" s="20">
        <v>223300</v>
      </c>
      <c r="G202" s="21">
        <f t="shared" si="4"/>
        <v>2294314</v>
      </c>
      <c r="H202" s="3"/>
      <c r="J202" s="8"/>
    </row>
    <row r="203" spans="1:10" x14ac:dyDescent="0.2">
      <c r="A203" s="16"/>
      <c r="B203" s="23" t="s">
        <v>50</v>
      </c>
      <c r="C203" s="18" t="s">
        <v>49</v>
      </c>
      <c r="D203" s="18" t="s">
        <v>284</v>
      </c>
      <c r="E203" s="19"/>
      <c r="F203" s="20">
        <v>500000</v>
      </c>
      <c r="G203" s="21">
        <f t="shared" si="4"/>
        <v>1794314</v>
      </c>
      <c r="H203" s="3"/>
      <c r="J203" s="8"/>
    </row>
    <row r="204" spans="1:10" x14ac:dyDescent="0.2">
      <c r="A204" s="16"/>
      <c r="B204" s="23" t="s">
        <v>31</v>
      </c>
      <c r="C204" s="18" t="s">
        <v>15</v>
      </c>
      <c r="D204" s="18" t="s">
        <v>285</v>
      </c>
      <c r="E204" s="19"/>
      <c r="F204" s="20">
        <v>25000</v>
      </c>
      <c r="G204" s="21">
        <f t="shared" si="4"/>
        <v>1769314</v>
      </c>
      <c r="H204" s="3"/>
      <c r="J204" s="8"/>
    </row>
    <row r="205" spans="1:10" x14ac:dyDescent="0.2">
      <c r="A205" s="16"/>
      <c r="B205" s="17" t="s">
        <v>27</v>
      </c>
      <c r="C205" s="18" t="s">
        <v>32</v>
      </c>
      <c r="D205" s="18" t="s">
        <v>305</v>
      </c>
      <c r="E205" s="19"/>
      <c r="F205" s="20">
        <v>500000</v>
      </c>
      <c r="G205" s="21">
        <f t="shared" si="4"/>
        <v>1269314</v>
      </c>
      <c r="H205" s="3"/>
      <c r="J205" s="8"/>
    </row>
    <row r="206" spans="1:10" x14ac:dyDescent="0.2">
      <c r="A206" s="16"/>
      <c r="B206" s="17" t="s">
        <v>27</v>
      </c>
      <c r="C206" s="18" t="s">
        <v>32</v>
      </c>
      <c r="D206" s="18" t="s">
        <v>306</v>
      </c>
      <c r="E206" s="19"/>
      <c r="F206" s="20">
        <v>155000</v>
      </c>
      <c r="G206" s="21">
        <f t="shared" si="4"/>
        <v>1114314</v>
      </c>
      <c r="H206" s="3"/>
      <c r="J206" s="8"/>
    </row>
    <row r="207" spans="1:10" x14ac:dyDescent="0.2">
      <c r="A207" s="16"/>
      <c r="B207" s="17" t="s">
        <v>27</v>
      </c>
      <c r="C207" s="18" t="s">
        <v>32</v>
      </c>
      <c r="D207" s="18" t="s">
        <v>307</v>
      </c>
      <c r="E207" s="19"/>
      <c r="F207" s="20">
        <v>75000</v>
      </c>
      <c r="G207" s="21">
        <f t="shared" si="4"/>
        <v>1039314</v>
      </c>
      <c r="H207" s="3"/>
      <c r="J207" s="8"/>
    </row>
    <row r="208" spans="1:10" x14ac:dyDescent="0.2">
      <c r="A208" s="16">
        <v>45986</v>
      </c>
      <c r="B208" s="23"/>
      <c r="C208" s="18"/>
      <c r="D208" s="18" t="s">
        <v>62</v>
      </c>
      <c r="E208" s="19">
        <f>2500000+4300000</f>
        <v>6800000</v>
      </c>
      <c r="F208" s="20"/>
      <c r="G208" s="21">
        <f t="shared" si="4"/>
        <v>7839314</v>
      </c>
      <c r="H208" s="3"/>
      <c r="J208" s="8"/>
    </row>
    <row r="209" spans="1:10" x14ac:dyDescent="0.2">
      <c r="A209" s="16"/>
      <c r="B209" s="23" t="s">
        <v>31</v>
      </c>
      <c r="C209" s="18" t="s">
        <v>15</v>
      </c>
      <c r="D209" s="18" t="s">
        <v>296</v>
      </c>
      <c r="E209" s="19"/>
      <c r="F209" s="20">
        <v>149000</v>
      </c>
      <c r="G209" s="21">
        <f t="shared" si="4"/>
        <v>7690314</v>
      </c>
      <c r="H209" s="3"/>
      <c r="J209" s="8"/>
    </row>
    <row r="210" spans="1:10" x14ac:dyDescent="0.2">
      <c r="A210" s="16"/>
      <c r="B210" s="23" t="s">
        <v>30</v>
      </c>
      <c r="C210" s="18" t="s">
        <v>17</v>
      </c>
      <c r="D210" s="18" t="s">
        <v>297</v>
      </c>
      <c r="E210" s="19"/>
      <c r="F210" s="20">
        <v>4300000</v>
      </c>
      <c r="G210" s="21">
        <f t="shared" si="4"/>
        <v>3390314</v>
      </c>
      <c r="H210" s="3"/>
      <c r="J210" s="8"/>
    </row>
    <row r="211" spans="1:10" x14ac:dyDescent="0.2">
      <c r="A211" s="16"/>
      <c r="B211" s="23" t="s">
        <v>31</v>
      </c>
      <c r="C211" s="18" t="s">
        <v>15</v>
      </c>
      <c r="D211" s="18" t="s">
        <v>298</v>
      </c>
      <c r="E211" s="19"/>
      <c r="F211" s="20">
        <v>250000</v>
      </c>
      <c r="G211" s="21">
        <f t="shared" si="4"/>
        <v>3140314</v>
      </c>
      <c r="H211" s="3"/>
      <c r="J211" s="8"/>
    </row>
    <row r="212" spans="1:10" x14ac:dyDescent="0.2">
      <c r="A212" s="16"/>
      <c r="B212" s="23" t="s">
        <v>31</v>
      </c>
      <c r="C212" s="18" t="s">
        <v>15</v>
      </c>
      <c r="D212" s="18" t="s">
        <v>92</v>
      </c>
      <c r="E212" s="19"/>
      <c r="F212" s="20">
        <v>35000</v>
      </c>
      <c r="G212" s="21">
        <f t="shared" si="4"/>
        <v>3105314</v>
      </c>
      <c r="H212" s="3"/>
      <c r="J212" s="8"/>
    </row>
    <row r="213" spans="1:10" x14ac:dyDescent="0.2">
      <c r="A213" s="16"/>
      <c r="B213" s="17" t="s">
        <v>27</v>
      </c>
      <c r="C213" s="18" t="s">
        <v>32</v>
      </c>
      <c r="D213" s="18" t="s">
        <v>137</v>
      </c>
      <c r="E213" s="19"/>
      <c r="F213" s="20">
        <v>1000000</v>
      </c>
      <c r="G213" s="21">
        <f t="shared" si="4"/>
        <v>2105314</v>
      </c>
      <c r="H213" s="3"/>
      <c r="J213" s="8"/>
    </row>
    <row r="214" spans="1:10" x14ac:dyDescent="0.2">
      <c r="A214" s="16"/>
      <c r="B214" s="17" t="s">
        <v>27</v>
      </c>
      <c r="C214" s="18" t="s">
        <v>32</v>
      </c>
      <c r="D214" s="18" t="s">
        <v>308</v>
      </c>
      <c r="E214" s="19"/>
      <c r="F214" s="20">
        <v>275000</v>
      </c>
      <c r="G214" s="21">
        <f t="shared" si="4"/>
        <v>1830314</v>
      </c>
      <c r="H214" s="3"/>
      <c r="J214" s="8"/>
    </row>
    <row r="215" spans="1:10" x14ac:dyDescent="0.2">
      <c r="A215" s="16"/>
      <c r="B215" s="17" t="s">
        <v>27</v>
      </c>
      <c r="C215" s="18" t="s">
        <v>32</v>
      </c>
      <c r="D215" s="18" t="s">
        <v>309</v>
      </c>
      <c r="E215" s="19"/>
      <c r="F215" s="20">
        <v>150000</v>
      </c>
      <c r="G215" s="21">
        <f t="shared" si="4"/>
        <v>1680314</v>
      </c>
      <c r="H215" s="3"/>
      <c r="J215" s="8"/>
    </row>
    <row r="216" spans="1:10" x14ac:dyDescent="0.2">
      <c r="A216" s="16"/>
      <c r="B216" s="17" t="s">
        <v>27</v>
      </c>
      <c r="C216" s="18" t="s">
        <v>32</v>
      </c>
      <c r="D216" s="18" t="s">
        <v>273</v>
      </c>
      <c r="E216" s="19"/>
      <c r="F216" s="20">
        <v>240000</v>
      </c>
      <c r="G216" s="21">
        <f t="shared" si="4"/>
        <v>1440314</v>
      </c>
      <c r="H216" s="3"/>
      <c r="J216" s="8"/>
    </row>
    <row r="217" spans="1:10" x14ac:dyDescent="0.2">
      <c r="A217" s="16"/>
      <c r="B217" s="17" t="s">
        <v>27</v>
      </c>
      <c r="C217" s="18" t="s">
        <v>32</v>
      </c>
      <c r="D217" s="18" t="s">
        <v>310</v>
      </c>
      <c r="E217" s="19"/>
      <c r="F217" s="20">
        <v>125000</v>
      </c>
      <c r="G217" s="21">
        <f t="shared" si="4"/>
        <v>1315314</v>
      </c>
      <c r="H217" s="3"/>
      <c r="J217" s="8"/>
    </row>
    <row r="218" spans="1:10" x14ac:dyDescent="0.2">
      <c r="A218" s="16"/>
      <c r="B218" s="17" t="s">
        <v>27</v>
      </c>
      <c r="C218" s="18" t="s">
        <v>32</v>
      </c>
      <c r="D218" s="18" t="s">
        <v>311</v>
      </c>
      <c r="E218" s="19"/>
      <c r="F218" s="20">
        <v>25000</v>
      </c>
      <c r="G218" s="21">
        <f t="shared" si="4"/>
        <v>1290314</v>
      </c>
      <c r="H218" s="3"/>
      <c r="J218" s="8"/>
    </row>
    <row r="219" spans="1:10" x14ac:dyDescent="0.2">
      <c r="A219" s="16"/>
      <c r="B219" s="17" t="s">
        <v>27</v>
      </c>
      <c r="C219" s="18" t="s">
        <v>32</v>
      </c>
      <c r="D219" s="18" t="s">
        <v>312</v>
      </c>
      <c r="E219" s="19"/>
      <c r="F219" s="20">
        <v>20000</v>
      </c>
      <c r="G219" s="21">
        <f t="shared" si="4"/>
        <v>1270314</v>
      </c>
      <c r="H219" s="3"/>
      <c r="J219" s="8"/>
    </row>
    <row r="220" spans="1:10" x14ac:dyDescent="0.2">
      <c r="A220" s="16"/>
      <c r="B220" s="23"/>
      <c r="C220" s="18"/>
      <c r="D220" s="18" t="s">
        <v>299</v>
      </c>
      <c r="E220" s="19">
        <v>48656</v>
      </c>
      <c r="F220" s="20"/>
      <c r="G220" s="21">
        <f t="shared" si="4"/>
        <v>1318970</v>
      </c>
      <c r="H220" s="3"/>
      <c r="J220" s="8"/>
    </row>
    <row r="221" spans="1:10" x14ac:dyDescent="0.2">
      <c r="A221" s="16"/>
      <c r="B221" s="23" t="s">
        <v>24</v>
      </c>
      <c r="C221" s="18" t="s">
        <v>18</v>
      </c>
      <c r="D221" s="18" t="s">
        <v>83</v>
      </c>
      <c r="E221" s="19"/>
      <c r="F221" s="20">
        <v>10000</v>
      </c>
      <c r="G221" s="21">
        <f t="shared" si="4"/>
        <v>1308970</v>
      </c>
      <c r="H221" s="3"/>
      <c r="J221" s="8"/>
    </row>
    <row r="222" spans="1:10" x14ac:dyDescent="0.2">
      <c r="A222" s="16">
        <v>45987</v>
      </c>
      <c r="B222" s="23" t="s">
        <v>24</v>
      </c>
      <c r="C222" s="18" t="s">
        <v>18</v>
      </c>
      <c r="D222" s="18" t="s">
        <v>301</v>
      </c>
      <c r="E222" s="19"/>
      <c r="F222" s="20">
        <v>10000</v>
      </c>
      <c r="G222" s="21">
        <f t="shared" si="4"/>
        <v>1298970</v>
      </c>
      <c r="H222" s="3"/>
      <c r="J222" s="8"/>
    </row>
    <row r="223" spans="1:10" x14ac:dyDescent="0.2">
      <c r="A223" s="16"/>
      <c r="B223" s="17" t="s">
        <v>27</v>
      </c>
      <c r="C223" s="18" t="s">
        <v>32</v>
      </c>
      <c r="D223" s="18" t="s">
        <v>313</v>
      </c>
      <c r="E223" s="19"/>
      <c r="F223" s="20">
        <v>73000</v>
      </c>
      <c r="G223" s="21">
        <f t="shared" si="4"/>
        <v>1225970</v>
      </c>
      <c r="H223" s="3"/>
      <c r="J223" s="8"/>
    </row>
    <row r="224" spans="1:10" x14ac:dyDescent="0.2">
      <c r="A224" s="16"/>
      <c r="B224" s="17" t="s">
        <v>27</v>
      </c>
      <c r="C224" s="18" t="s">
        <v>32</v>
      </c>
      <c r="D224" s="18" t="s">
        <v>314</v>
      </c>
      <c r="E224" s="19"/>
      <c r="F224" s="20">
        <v>25000</v>
      </c>
      <c r="G224" s="21">
        <f t="shared" si="4"/>
        <v>1200970</v>
      </c>
      <c r="H224" s="3"/>
      <c r="J224" s="8"/>
    </row>
    <row r="225" spans="1:10" x14ac:dyDescent="0.2">
      <c r="A225" s="16">
        <v>45988</v>
      </c>
      <c r="B225" s="23" t="s">
        <v>31</v>
      </c>
      <c r="C225" s="18" t="s">
        <v>15</v>
      </c>
      <c r="D225" s="18" t="s">
        <v>302</v>
      </c>
      <c r="E225" s="19"/>
      <c r="F225" s="20">
        <v>300000</v>
      </c>
      <c r="G225" s="21">
        <f t="shared" si="4"/>
        <v>900970</v>
      </c>
      <c r="H225" s="3"/>
      <c r="J225" s="8"/>
    </row>
    <row r="226" spans="1:10" x14ac:dyDescent="0.2">
      <c r="A226" s="16"/>
      <c r="B226" s="17" t="s">
        <v>27</v>
      </c>
      <c r="C226" s="18" t="s">
        <v>32</v>
      </c>
      <c r="D226" s="18" t="s">
        <v>315</v>
      </c>
      <c r="E226" s="19"/>
      <c r="F226" s="20">
        <v>165000</v>
      </c>
      <c r="G226" s="21">
        <f t="shared" si="4"/>
        <v>735970</v>
      </c>
      <c r="H226" s="3"/>
      <c r="J226" s="8"/>
    </row>
    <row r="227" spans="1:10" x14ac:dyDescent="0.2">
      <c r="A227" s="16">
        <v>45989</v>
      </c>
      <c r="B227" s="23" t="s">
        <v>31</v>
      </c>
      <c r="C227" s="18" t="s">
        <v>15</v>
      </c>
      <c r="D227" s="18" t="s">
        <v>303</v>
      </c>
      <c r="E227" s="19"/>
      <c r="F227" s="20">
        <v>100000</v>
      </c>
      <c r="G227" s="21">
        <f t="shared" si="4"/>
        <v>635970</v>
      </c>
      <c r="H227" s="3"/>
      <c r="J227" s="8"/>
    </row>
    <row r="228" spans="1:10" x14ac:dyDescent="0.2">
      <c r="A228" s="16"/>
      <c r="B228" s="23" t="s">
        <v>31</v>
      </c>
      <c r="C228" s="18" t="s">
        <v>15</v>
      </c>
      <c r="D228" s="49" t="s">
        <v>304</v>
      </c>
      <c r="E228" s="18"/>
      <c r="F228" s="20">
        <v>250000</v>
      </c>
      <c r="G228" s="21">
        <f t="shared" si="4"/>
        <v>385970</v>
      </c>
      <c r="H228" s="3"/>
      <c r="J228" s="8"/>
    </row>
    <row r="229" spans="1:10" x14ac:dyDescent="0.2">
      <c r="A229" s="16"/>
      <c r="B229" s="23"/>
      <c r="C229" s="18"/>
      <c r="D229" s="49" t="s">
        <v>62</v>
      </c>
      <c r="E229" s="19">
        <v>6700000</v>
      </c>
      <c r="F229" s="20"/>
      <c r="G229" s="21">
        <f t="shared" si="4"/>
        <v>7085970</v>
      </c>
      <c r="H229" s="3"/>
      <c r="J229" s="8"/>
    </row>
    <row r="230" spans="1:10" x14ac:dyDescent="0.2">
      <c r="A230" s="16"/>
      <c r="B230" s="23" t="s">
        <v>31</v>
      </c>
      <c r="C230" s="18" t="s">
        <v>15</v>
      </c>
      <c r="D230" s="49" t="s">
        <v>241</v>
      </c>
      <c r="E230" s="18"/>
      <c r="F230" s="20">
        <v>700000</v>
      </c>
      <c r="G230" s="21">
        <f t="shared" si="4"/>
        <v>6385970</v>
      </c>
      <c r="H230" s="3"/>
      <c r="J230" s="8"/>
    </row>
    <row r="231" spans="1:10" x14ac:dyDescent="0.2">
      <c r="A231" s="16"/>
      <c r="B231" s="23"/>
      <c r="C231" s="18"/>
      <c r="D231" s="18"/>
      <c r="E231" s="19"/>
      <c r="F231" s="20"/>
      <c r="G231" s="21"/>
      <c r="H231" s="3"/>
      <c r="J231" s="8"/>
    </row>
    <row r="232" spans="1:10" x14ac:dyDescent="0.2">
      <c r="A232" s="22"/>
      <c r="B232" s="23"/>
      <c r="C232" s="18"/>
      <c r="D232" s="18"/>
      <c r="E232" s="18"/>
      <c r="F232" s="20"/>
      <c r="G232" s="21"/>
      <c r="H232" s="3"/>
      <c r="J232" s="8"/>
    </row>
    <row r="233" spans="1:10" x14ac:dyDescent="0.2">
      <c r="A233" s="18"/>
      <c r="B233" s="23"/>
      <c r="C233" s="18"/>
      <c r="D233" s="18"/>
      <c r="E233" s="21"/>
      <c r="F233" s="24"/>
      <c r="G233" s="21"/>
    </row>
    <row r="234" spans="1:10" x14ac:dyDescent="0.2">
      <c r="A234" s="25"/>
      <c r="B234" s="25"/>
      <c r="C234" s="25"/>
      <c r="D234" s="25"/>
      <c r="E234" s="26">
        <f>SUM(E5:E233)</f>
        <v>62572420</v>
      </c>
      <c r="F234" s="27">
        <f>SUM(F5:F233)</f>
        <v>71570614</v>
      </c>
      <c r="G234" s="26">
        <f>G230</f>
        <v>6385970</v>
      </c>
      <c r="H234" s="3"/>
    </row>
    <row r="235" spans="1:10" x14ac:dyDescent="0.2">
      <c r="A235" s="2"/>
      <c r="B235" s="2"/>
      <c r="C235" s="2"/>
      <c r="D235" s="2"/>
      <c r="E235" s="2"/>
      <c r="F235" s="6"/>
      <c r="G235" s="2"/>
    </row>
    <row r="236" spans="1:10" x14ac:dyDescent="0.2">
      <c r="A236" s="2"/>
      <c r="B236" s="2"/>
      <c r="C236" s="2"/>
      <c r="D236" s="2"/>
      <c r="E236" s="2"/>
      <c r="F236" s="7"/>
      <c r="G236" s="2"/>
    </row>
    <row r="237" spans="1:10" x14ac:dyDescent="0.2">
      <c r="A237" s="2"/>
      <c r="B237" s="2"/>
      <c r="C237" s="2"/>
      <c r="D237" s="2"/>
      <c r="E237" s="2"/>
      <c r="F237" s="7"/>
      <c r="G237" s="2"/>
    </row>
    <row r="238" spans="1:10" x14ac:dyDescent="0.2">
      <c r="A238" s="2"/>
      <c r="B238" s="2"/>
      <c r="C238" s="2"/>
      <c r="D238" s="2"/>
      <c r="E238" s="2"/>
      <c r="F238" s="2"/>
      <c r="G238" s="2"/>
    </row>
    <row r="239" spans="1:10" x14ac:dyDescent="0.2">
      <c r="A239" s="2"/>
      <c r="B239" s="2"/>
      <c r="C239" s="2"/>
      <c r="D239" s="2"/>
      <c r="E239" s="2"/>
      <c r="F239" s="2"/>
      <c r="G239" s="2"/>
    </row>
    <row r="240" spans="1:10" x14ac:dyDescent="0.2">
      <c r="A240" s="2"/>
      <c r="B240" s="2"/>
      <c r="C240" s="2"/>
      <c r="D240" s="2"/>
      <c r="E240" s="2"/>
      <c r="F240" s="2"/>
      <c r="G240" s="2"/>
    </row>
  </sheetData>
  <autoFilter ref="B1:B234" xr:uid="{00000000-0009-0000-0000-000001000000}"/>
  <pageMargins left="0.19685039370078741" right="0.19685039370078741" top="0.19685039370078741" bottom="0.19685039370078741" header="0.19685039370078741" footer="0.19685039370078741"/>
  <pageSetup paperSize="9" scale="8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Rekon Bank</vt:lpstr>
      <vt:lpstr>Petty Cash </vt:lpstr>
      <vt:lpstr>Petty Cash  Gudang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ENING</dc:creator>
  <cp:lastModifiedBy>macbook</cp:lastModifiedBy>
  <cp:lastPrinted>2025-10-23T03:07:02Z</cp:lastPrinted>
  <dcterms:created xsi:type="dcterms:W3CDTF">2021-06-28T02:32:18Z</dcterms:created>
  <dcterms:modified xsi:type="dcterms:W3CDTF">2026-01-07T12:16:26Z</dcterms:modified>
</cp:coreProperties>
</file>