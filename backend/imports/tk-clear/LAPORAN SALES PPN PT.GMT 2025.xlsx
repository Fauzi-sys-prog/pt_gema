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240" windowHeight="12120" activeTab="6"/>
  </bookViews>
  <sheets>
    <sheet name="REKAP SALES" sheetId="10" r:id="rId1"/>
    <sheet name="INV JANUARI" sheetId="9" r:id="rId2"/>
    <sheet name="INV FEBRUARI" sheetId="11" r:id="rId3"/>
    <sheet name="INV MARET" sheetId="12" r:id="rId4"/>
    <sheet name="INV APRIL" sheetId="13" r:id="rId5"/>
    <sheet name="INV MEI" sheetId="14" r:id="rId6"/>
    <sheet name="INV JUNI" sheetId="15" r:id="rId7"/>
    <sheet name="INV JULI" sheetId="16" r:id="rId8"/>
    <sheet name="INV AGUSTUS" sheetId="17" r:id="rId9"/>
    <sheet name="INV SEPTEMBER" sheetId="18" r:id="rId10"/>
    <sheet name="INV OKTOBER" sheetId="19" r:id="rId11"/>
    <sheet name="INV NOVEMBER" sheetId="20" r:id="rId12"/>
    <sheet name="INV DESEMBER" sheetId="21" r:id="rId13"/>
  </sheets>
  <definedNames>
    <definedName name="_xlnm._FilterDatabase" localSheetId="1" hidden="1">'INV JANUARI'!$P$1:$P$41</definedName>
    <definedName name="_xlnm._FilterDatabase" localSheetId="2" hidden="1">'INV FEBRUARI'!$C$1:$C$48</definedName>
    <definedName name="_xlnm._FilterDatabase" localSheetId="3" hidden="1">'INV MARET'!$C$1:$C$28</definedName>
    <definedName name="_xlnm._FilterDatabase" localSheetId="4" hidden="1">'INV APRIL'!$C$1:$C$60</definedName>
    <definedName name="_xlnm._FilterDatabase" localSheetId="5" hidden="1">'INV MEI'!$C$1:$C$25</definedName>
    <definedName name="_xlnm._FilterDatabase" localSheetId="6" hidden="1">'INV JUNI'!$C$1:$C$30</definedName>
    <definedName name="_xlnm._FilterDatabase" localSheetId="7" hidden="1">'INV JULI'!$P$1:$P$31</definedName>
    <definedName name="_xlnm._FilterDatabase" localSheetId="8" hidden="1">'INV AGUSTUS'!$A$5:$J$34</definedName>
    <definedName name="_xlnm._FilterDatabase" localSheetId="9" hidden="1">'INV SEPTEMBER'!$A$5:$J$31</definedName>
    <definedName name="_xlnm._FilterDatabase" localSheetId="10" hidden="1">'INV OKTOBER'!$P$1:$P$33</definedName>
    <definedName name="_xlnm._FilterDatabase" localSheetId="11" hidden="1">'INV NOVEMBER'!$P$1:$P$51</definedName>
    <definedName name="_xlnm._FilterDatabase" localSheetId="12" hidden="1">'INV DESEMBER'!$P$1:$P$62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<sst xmlns="http://schemas.openxmlformats.org/spreadsheetml/2006/main" count="832" uniqueCount="407">
  <si>
    <t>PT. GEMA TEKNIK PERKASA</t>
  </si>
  <si>
    <t>REKAP DATA SALES PPN</t>
  </si>
  <si>
    <t>TAHUN 2025</t>
  </si>
  <si>
    <t>No</t>
  </si>
  <si>
    <t>Periode</t>
  </si>
  <si>
    <t>Keterangan</t>
  </si>
  <si>
    <t>Jasa</t>
  </si>
  <si>
    <t>Anchor</t>
  </si>
  <si>
    <t>Material</t>
  </si>
  <si>
    <t>Sewa Alat</t>
  </si>
  <si>
    <t>Total</t>
  </si>
  <si>
    <t>JANUARI</t>
  </si>
  <si>
    <t>FEBRUARI</t>
  </si>
  <si>
    <t>MARET</t>
  </si>
  <si>
    <t>APRIL</t>
  </si>
  <si>
    <t>MEI</t>
  </si>
  <si>
    <t>JUNI</t>
  </si>
  <si>
    <t>JULI</t>
  </si>
  <si>
    <t>AGUSTUS</t>
  </si>
  <si>
    <t>SEPTEMBER</t>
  </si>
  <si>
    <t>OKTOBER</t>
  </si>
  <si>
    <t xml:space="preserve"> </t>
  </si>
  <si>
    <t>NOVEMBER</t>
  </si>
  <si>
    <t>DESEMBER</t>
  </si>
  <si>
    <t>SALES 2023</t>
  </si>
  <si>
    <t>TOTAL</t>
  </si>
  <si>
    <t>SALES 2024</t>
  </si>
  <si>
    <t>Piutang GMT Januari 2025</t>
  </si>
  <si>
    <t>PPN</t>
  </si>
  <si>
    <t>Tanggal</t>
  </si>
  <si>
    <t>No. Invoice</t>
  </si>
  <si>
    <t xml:space="preserve">Customer </t>
  </si>
  <si>
    <t>Tgl Pembayaran</t>
  </si>
  <si>
    <t>Potongan PPH 2%</t>
  </si>
  <si>
    <t>Nilai Pembayaran</t>
  </si>
  <si>
    <t>Saldo AR</t>
  </si>
  <si>
    <t>Grand Total</t>
  </si>
  <si>
    <t>01/TAG/GMT/I/2025</t>
  </si>
  <si>
    <t>PT. Gemilang MitraAbadi Sejahtera</t>
  </si>
  <si>
    <t>02/TAG/GMT/I/2025</t>
  </si>
  <si>
    <t>PT. Bumi Alam Segar</t>
  </si>
  <si>
    <t>03/TAG/GMT/I/2025</t>
  </si>
  <si>
    <t>PT. Daiki Aluminium Industry Indonesia</t>
  </si>
  <si>
    <t>04/TAG/GMT/I/2025</t>
  </si>
  <si>
    <t>05/TAG/GMT/I/2025</t>
  </si>
  <si>
    <t>06/TAG/GMT/I/2025</t>
  </si>
  <si>
    <t>07/TAG/GMT/I/2025</t>
  </si>
  <si>
    <t>08/TAG/GMT/I/2025</t>
  </si>
  <si>
    <t>09/TAG/GMT/I/2025</t>
  </si>
  <si>
    <t>10/TAG/GMT/I/2025</t>
  </si>
  <si>
    <t>11/TAG/GMT/I/2025</t>
  </si>
  <si>
    <t>12/TAG/GMT/I/2025</t>
  </si>
  <si>
    <t>PT. Eagle Industry Indonesia</t>
  </si>
  <si>
    <t>13/TAG/GMT/I/2025</t>
  </si>
  <si>
    <t>14/TAG/GMT/I/2025</t>
  </si>
  <si>
    <t>PT. Santos Jaya Abadi</t>
  </si>
  <si>
    <t>15/TAG/GMT/I/2025</t>
  </si>
  <si>
    <t>PT. Shinagawa Refratech Perkasa</t>
  </si>
  <si>
    <t>16/TAG/GMT/I/2025</t>
  </si>
  <si>
    <t>PT. Sriwijaya Alam Segar</t>
  </si>
  <si>
    <t>17/TAG/GMT/I/2025</t>
  </si>
  <si>
    <t>PT. Kopsri</t>
  </si>
  <si>
    <t>18/TAG/GMT/I/2025</t>
  </si>
  <si>
    <t>PT. Srijasa Brika Perkasa</t>
  </si>
  <si>
    <t>19/TAG/GMT/I/2025</t>
  </si>
  <si>
    <t>PT. Nusantara Tehnik Indonesia</t>
  </si>
  <si>
    <t>20/TAG/GMT/I/2025</t>
  </si>
  <si>
    <t>PT. Gunung Api Mulia</t>
  </si>
  <si>
    <t>21/TAG/GMT/I/2025</t>
  </si>
  <si>
    <t>22/TAG/GMT/I/2025</t>
  </si>
  <si>
    <t>23/TAG/GMT/I/2025</t>
  </si>
  <si>
    <t>24/TAGGMT/I/2025</t>
  </si>
  <si>
    <t>25/TAG/GMT/I/2025</t>
  </si>
  <si>
    <t>PT. Karya Andesta</t>
  </si>
  <si>
    <r>
      <rPr>
        <sz val="11"/>
        <color theme="1"/>
        <rFont val="Calibri"/>
        <charset val="134"/>
        <scheme val="minor"/>
      </rPr>
      <t>PM</t>
    </r>
    <r>
      <rPr>
        <sz val="11"/>
        <color theme="1"/>
        <rFont val="Calibri"/>
        <charset val="134"/>
      </rPr>
      <t>→→→→→→→→→→</t>
    </r>
  </si>
  <si>
    <t>Piutang GMT Februari 2025</t>
  </si>
  <si>
    <t>PPH 2%</t>
  </si>
  <si>
    <t>26/TAG/GMT/II/2025</t>
  </si>
  <si>
    <t>PT. Harmoni Energy Indonesia</t>
  </si>
  <si>
    <t>27/TAG/GMT/II/2025</t>
  </si>
  <si>
    <t>28/TAG/GMT/II/2025</t>
  </si>
  <si>
    <t>29/TAG/GMT/II/2025</t>
  </si>
  <si>
    <t>30/TAG/GMT/II/2025</t>
  </si>
  <si>
    <t>31/TAG/GMT/II/2025</t>
  </si>
  <si>
    <t>32/TAG/GMT/II/2025</t>
  </si>
  <si>
    <t>PT. Refratech Mandala Perkasa</t>
  </si>
  <si>
    <t>33/TAG/GMT/II/2025</t>
  </si>
  <si>
    <t>34/TAG/GMT/II/2025</t>
  </si>
  <si>
    <t>35/TAG/GMT/II/2025</t>
  </si>
  <si>
    <t>36/TAG/GMT/II/2025</t>
  </si>
  <si>
    <t>37/TAG/GMT/II/2025</t>
  </si>
  <si>
    <t>PT. Global Energy Solusindo</t>
  </si>
  <si>
    <t>38/TAG/GMT/II/2025</t>
  </si>
  <si>
    <t>39/TAG/GMT/II/2025</t>
  </si>
  <si>
    <t>40/TAG/GMT/II/2025</t>
  </si>
  <si>
    <t>41/TAG/GMT/II/2025</t>
  </si>
  <si>
    <t>42/TAG/GMT/II/2025</t>
  </si>
  <si>
    <t>43/TAG/GMT/II/2025</t>
  </si>
  <si>
    <t>PT. Pantarhei Cahaya Indonesia</t>
  </si>
  <si>
    <t>44/TAG/GMT/II/2025</t>
  </si>
  <si>
    <t>PT. Kaltim Prima Coal</t>
  </si>
  <si>
    <t>45/TAG/GMT/II/2025</t>
  </si>
  <si>
    <t>46/TAG/GMT/II/2025</t>
  </si>
  <si>
    <t>47/TAG/GMT/II/2025</t>
  </si>
  <si>
    <t>48/TAG/GMT/II/2025</t>
  </si>
  <si>
    <t>49/TAG/GMT/II/2025</t>
  </si>
  <si>
    <t>PT. Gemilang Mitra Abadi Sejahtera</t>
  </si>
  <si>
    <t>Piutang GMT Maret 2025</t>
  </si>
  <si>
    <t>50/TAG/GMT/III/2025</t>
  </si>
  <si>
    <t>51/TAG/GMT/III/2025</t>
  </si>
  <si>
    <t>PT. Harindo Jaya Nusantara</t>
  </si>
  <si>
    <t>52/TAG/GMT/III/2025</t>
  </si>
  <si>
    <t>53/TAG/GMT/III/2025</t>
  </si>
  <si>
    <t>54/TAG/GMT/III/2025</t>
  </si>
  <si>
    <t>55/TAG/GMT/III/2025</t>
  </si>
  <si>
    <t>56/TAG/GMT/III/2025</t>
  </si>
  <si>
    <t>57/TAG/GMT/III/2025</t>
  </si>
  <si>
    <t>CV. Nioto Karunia Mulya</t>
  </si>
  <si>
    <t>58/TAG/GMT/III/2025</t>
  </si>
  <si>
    <t>59/TAG/GMT/III/2025</t>
  </si>
  <si>
    <t>60/TAG/GMT/III/2025</t>
  </si>
  <si>
    <t>61/TAG/GMT/III/2025</t>
  </si>
  <si>
    <t>62/TAG/GMT/III/2025</t>
  </si>
  <si>
    <t>63/TAG/GMT/III/2025</t>
  </si>
  <si>
    <t>64/TAG/GMT/III/2025</t>
  </si>
  <si>
    <t>65/TAG/GMT/III/2025</t>
  </si>
  <si>
    <t>66/TAG/GMT/III/2025</t>
  </si>
  <si>
    <t>67/TAG/GMT/III/2025</t>
  </si>
  <si>
    <t>68/TAG/GMT/III/2025</t>
  </si>
  <si>
    <t>69/TAG/GMT/III/2025</t>
  </si>
  <si>
    <t>Piutang GMT April 2025</t>
  </si>
  <si>
    <t>70/TAG/GMT/IV/2025</t>
  </si>
  <si>
    <t>71/TAG/GMT/IV/2025</t>
  </si>
  <si>
    <t>72/TAG/GMT/IV/2025</t>
  </si>
  <si>
    <t>73/TAG/GMT/IV/2025</t>
  </si>
  <si>
    <t>74/TAG/GMT/IV/2025</t>
  </si>
  <si>
    <t>75/TAG/GMT/IV/2025</t>
  </si>
  <si>
    <t>76/TAG/GMT/IV/2025</t>
  </si>
  <si>
    <t>77/TAG/GMT/IV/2025</t>
  </si>
  <si>
    <t>78/TAG/GMT/IV/2025</t>
  </si>
  <si>
    <t>79/TAG/GMT/IV/2025</t>
  </si>
  <si>
    <t>80/TAG/GMT/IV/2025</t>
  </si>
  <si>
    <t>81/TAG/GMT/IV/2025</t>
  </si>
  <si>
    <t>PT. Common Wealth Steel Indonesia</t>
  </si>
  <si>
    <t>82/TAG/GMT/IV/2025</t>
  </si>
  <si>
    <t>83/TAG/GMT/IV/2025</t>
  </si>
  <si>
    <t>84/TAG/GMT/IV/2025</t>
  </si>
  <si>
    <t>85/TAG/GMT/IV/2025</t>
  </si>
  <si>
    <t>86/TAG/GMT/IV/2025</t>
  </si>
  <si>
    <t>87/TAG/GMT/IV/2025</t>
  </si>
  <si>
    <t>88/TAG/GMT/IV/2025</t>
  </si>
  <si>
    <t>89/TAG/GMT/IV/2025</t>
  </si>
  <si>
    <t>90/TAG/GMT/IV/2025</t>
  </si>
  <si>
    <t>PT. Shinagawa Maju Persada</t>
  </si>
  <si>
    <t>91/TAG/GMT/IV/2025</t>
  </si>
  <si>
    <t>92/TAG/GMT/IV/2025</t>
  </si>
  <si>
    <t>93/TAG/GMT/IV/2025</t>
  </si>
  <si>
    <t>94/TAG/GMT/IV/2025</t>
  </si>
  <si>
    <t>95/TAG/GMT/IV/2025</t>
  </si>
  <si>
    <t>96/TAG/GMT/IV/2025</t>
  </si>
  <si>
    <t>PT. Aqpa Indonesia</t>
  </si>
  <si>
    <t>97/TAG/GMT/IV/2025</t>
  </si>
  <si>
    <t>98/TAG/GMT/IV/2025</t>
  </si>
  <si>
    <t>99/TAG/GMT/IV/2025</t>
  </si>
  <si>
    <t>PT. Prakarsa Alam Segar</t>
  </si>
  <si>
    <t>100/TAG/GMT/IV/2025</t>
  </si>
  <si>
    <t>101/TAG/GMT/IV/2025</t>
  </si>
  <si>
    <t>PT. Indoporlen</t>
  </si>
  <si>
    <t>102/TAG/GMT/IV/2025</t>
  </si>
  <si>
    <t>CV. Nioto Karunia Sukses</t>
  </si>
  <si>
    <t>103/TAG/GMT/IV/2025</t>
  </si>
  <si>
    <t>104/TAG/GMT/IV/2025</t>
  </si>
  <si>
    <t>PT. Vardhana Inti Pratama</t>
  </si>
  <si>
    <t>105/TAG/GMT/IV/2025</t>
  </si>
  <si>
    <t>106/TAG/GMT/IV/2025</t>
  </si>
  <si>
    <t>107/TAG/GMT/IV/2025</t>
  </si>
  <si>
    <t>108/TAG/GMT/IV/2025</t>
  </si>
  <si>
    <t>109/TAG/GMT/IV/2025</t>
  </si>
  <si>
    <t>110/TAG/GMT/IV/2025</t>
  </si>
  <si>
    <t>PT. Halco Tehnik</t>
  </si>
  <si>
    <t>111/TAG/GMT/IV/2025</t>
  </si>
  <si>
    <t>112/TAG/GMT/IV/2025</t>
  </si>
  <si>
    <t>113/TAG/GMT/IV/2025</t>
  </si>
  <si>
    <t>114/TAG/GMT/IV/2025</t>
  </si>
  <si>
    <t>Piutang GMT Mei 2025</t>
  </si>
  <si>
    <t>115/TAG/GMT/V/2025</t>
  </si>
  <si>
    <t>PT. Indopower International</t>
  </si>
  <si>
    <t>116/TAG/GMT/V/2025</t>
  </si>
  <si>
    <t>117/TAG/GMT/V/2025</t>
  </si>
  <si>
    <t>PT. Gemilang Mitraabadi Sejahtera</t>
  </si>
  <si>
    <t>118/TAG/GMT/V/2025</t>
  </si>
  <si>
    <t>119/TAG/GMT/V/2025</t>
  </si>
  <si>
    <t>120/TAG/GMT/V/2025</t>
  </si>
  <si>
    <t>121/TAG/GMT/V/2025</t>
  </si>
  <si>
    <t>122/TAG/GMT/V/2025</t>
  </si>
  <si>
    <t>123/TAG/GMT/V/2025</t>
  </si>
  <si>
    <t>124/TAG/GMT/V/2025</t>
  </si>
  <si>
    <t>125/TAG/GMT/V/2025</t>
  </si>
  <si>
    <t>126/TAG/GMT/V/2025</t>
  </si>
  <si>
    <t>PT. Rastekindo Cipta Global</t>
  </si>
  <si>
    <t>127/TAG/GMT/V/2025</t>
  </si>
  <si>
    <t>128/TAG/GMT/V/2025</t>
  </si>
  <si>
    <t>129/TAG/GMT/V/2025</t>
  </si>
  <si>
    <t>PT. Menara Bukit Lubukkeli</t>
  </si>
  <si>
    <t>Piutang GMT Juni 2025</t>
  </si>
  <si>
    <t>130/TAG/GMT/V/2025</t>
  </si>
  <si>
    <t>131/TAG/GMT/VI/2025</t>
  </si>
  <si>
    <t>132/TAG/GMT/VI/2025</t>
  </si>
  <si>
    <t>133/TAG/GMT/VI/2025</t>
  </si>
  <si>
    <t>PT. Refractorindo Graha Dinamika</t>
  </si>
  <si>
    <t>134/TAG/GMT/VI/2025</t>
  </si>
  <si>
    <t>135/TAG/GMT/VI/2025</t>
  </si>
  <si>
    <t>136/TAG/GMT/VI/2025</t>
  </si>
  <si>
    <t>137/TAG/GMT/VI/2025</t>
  </si>
  <si>
    <t>138/TAG/GMT/VI/2025</t>
  </si>
  <si>
    <t>139/TAG/GMT/VI/2025</t>
  </si>
  <si>
    <t>140/TAG/GMT/VI/2025</t>
  </si>
  <si>
    <t>141/TAG/GMT/VI/2025</t>
  </si>
  <si>
    <t>142/TAG/GMT/VI/2025</t>
  </si>
  <si>
    <t>143/TAG/GMT/VI/2025</t>
  </si>
  <si>
    <t>PT. Commonwealth Steel Indonesia</t>
  </si>
  <si>
    <t>144/TAG/GMT/VI/2025</t>
  </si>
  <si>
    <t>PT. Indo Bharat Rayon</t>
  </si>
  <si>
    <t>145/TAG/GMT/VI/2025</t>
  </si>
  <si>
    <t>PM</t>
  </si>
  <si>
    <t>Piutang GMT Juli 2025</t>
  </si>
  <si>
    <t>146/TAG/GMT/VII/2025</t>
  </si>
  <si>
    <t>147/TAG/GMT/VII/2025</t>
  </si>
  <si>
    <t>148/TAG/GMT/VII/2025</t>
  </si>
  <si>
    <t>149/TAG/GMT/VII/2025</t>
  </si>
  <si>
    <t>150/TAG/GMT/VII/2025</t>
  </si>
  <si>
    <t>151/TAG/GMT/VII/2025</t>
  </si>
  <si>
    <t>PT. Prabha Padma Pertiwi</t>
  </si>
  <si>
    <t>152/TAG/GMT/VII/2025</t>
  </si>
  <si>
    <t>153/TAG/GMT/VII/2025</t>
  </si>
  <si>
    <t>154/TAG/GMT/VII/2025</t>
  </si>
  <si>
    <t>155/TAG/GMT/VII/2025</t>
  </si>
  <si>
    <t>156/TAG/GMT/VII/2025</t>
  </si>
  <si>
    <t>157/TAG/GMT/VII/2025</t>
  </si>
  <si>
    <t>158/TAG/GMT/VII/2025</t>
  </si>
  <si>
    <t>159/TAG/GMT/VII/2025</t>
  </si>
  <si>
    <t>160/TAG/GMT/VII/2025</t>
  </si>
  <si>
    <t>161/TAG/GMT/VII/2025</t>
  </si>
  <si>
    <t>162/TAG/GMT/VII/2025</t>
  </si>
  <si>
    <t>163/TAG/GMT/VII/2025</t>
  </si>
  <si>
    <t>169/TAG/GMT/VII/2025</t>
  </si>
  <si>
    <t>Piutang GMT Agustus 2025</t>
  </si>
  <si>
    <t>164/TAG/GMT/VII/2025</t>
  </si>
  <si>
    <t>PT. Sinergi Bangun Utama</t>
  </si>
  <si>
    <t>165/TAG/GMT/VII/2025</t>
  </si>
  <si>
    <t>166/TAG/GMT/VIII/2025</t>
  </si>
  <si>
    <t>PT. Lingga Makmur Elektrika</t>
  </si>
  <si>
    <t>167/TAG/GMT/VIII/2025</t>
  </si>
  <si>
    <t>168/TAG/GMT/VIII/2025</t>
  </si>
  <si>
    <t>170/TAG/GMT/VIII/2025</t>
  </si>
  <si>
    <t>PT. Raja Voltama Electric</t>
  </si>
  <si>
    <t>171/TAG/GMT/VIII/2025</t>
  </si>
  <si>
    <t>172/TAG/GMT/VIII/2025</t>
  </si>
  <si>
    <t>173/TAG/GMT/VIII/2025</t>
  </si>
  <si>
    <t>174/TAG/GMT/VIII/2025</t>
  </si>
  <si>
    <t>175/TAG/GMT/VIII/2025</t>
  </si>
  <si>
    <t>176/TAG/GMT/VIII/2025</t>
  </si>
  <si>
    <t>177/TAG/GMT/VIII/2025</t>
  </si>
  <si>
    <t>178/TAG/GMT/VIII/2025</t>
  </si>
  <si>
    <t>179/TAG/GMT/VIII/2025</t>
  </si>
  <si>
    <t>PT. Ihi Power Service Indonesia</t>
  </si>
  <si>
    <t>180/TAG/GMT/VIII/2025</t>
  </si>
  <si>
    <t>181/TAG/GMT/VIII/2025</t>
  </si>
  <si>
    <t>182/TAG/GMT/VIII/2025</t>
  </si>
  <si>
    <t>183/TAG/GMT/VIII/2025</t>
  </si>
  <si>
    <t>184/TAG/GMT/VIII/2025</t>
  </si>
  <si>
    <t>CV. Tiga Bintang Selaras</t>
  </si>
  <si>
    <t>185/TAG/GMT/VIII/2025</t>
  </si>
  <si>
    <t>186/TAG/GMT/VIII/2025</t>
  </si>
  <si>
    <t>187/TAG/GMT/VIII/2025</t>
  </si>
  <si>
    <t>188/TAG/GMT/VIII/2025</t>
  </si>
  <si>
    <t>189/TAG/GMT/VIII/2025</t>
  </si>
  <si>
    <t>190/TAG/GMT/VIII/2025</t>
  </si>
  <si>
    <t>Piutang GMT September 2025</t>
  </si>
  <si>
    <t>Beban Admin</t>
  </si>
  <si>
    <t>191/TAG/GMT/IX/2025</t>
  </si>
  <si>
    <t>192/TAG/GMT/IX/2025</t>
  </si>
  <si>
    <t>193/TAG/GMT/IX/2025</t>
  </si>
  <si>
    <t>194/TAG/GMT/IX/2025</t>
  </si>
  <si>
    <t>195/TAG/GMT/IX/2025</t>
  </si>
  <si>
    <t>196/TAG/GMT/IX/2025</t>
  </si>
  <si>
    <t>197/TAG/GMT/IX/2025</t>
  </si>
  <si>
    <t>PT. Exima Maju Perkasa</t>
  </si>
  <si>
    <t>198/TAG/GMT/IX/2025</t>
  </si>
  <si>
    <t>199/TAG/GMT/IX/2025</t>
  </si>
  <si>
    <t>200/TAG/GMT/IX/2025</t>
  </si>
  <si>
    <t>201/TAG/GMT/IX/2025</t>
  </si>
  <si>
    <t>202/TAG/GMT/IX/2025</t>
  </si>
  <si>
    <t>203/TAG/GMT/IX/2025</t>
  </si>
  <si>
    <t>204/TAG/GMT/IX/2025</t>
  </si>
  <si>
    <t>205/TAG/GMT/IX/2025</t>
  </si>
  <si>
    <t>206/TAG/GMT/IX/2025</t>
  </si>
  <si>
    <t>207/TAG/GMT/IX/2025</t>
  </si>
  <si>
    <t>208/TAG/GMT/IX/2025</t>
  </si>
  <si>
    <t>209/TAG/GMT/IX/2025</t>
  </si>
  <si>
    <t>PT. Eagle Burgmann Indonesia</t>
  </si>
  <si>
    <t>210/TAG/GMT/IX/2025</t>
  </si>
  <si>
    <t>211/TAG/GMT/IX/2025</t>
  </si>
  <si>
    <t>212/TAG/GMT/IX/2025</t>
  </si>
  <si>
    <t>Piutang GMT Oktober 2025</t>
  </si>
  <si>
    <t>213/TAG/GMT/X/2025</t>
  </si>
  <si>
    <t>PT. Tiga Pilar Sejahtera</t>
  </si>
  <si>
    <t>214/TAG/GMT/X/2025</t>
  </si>
  <si>
    <t>215/TAG/GMT/X/2025</t>
  </si>
  <si>
    <t>216/TAG/GMT/X/2025</t>
  </si>
  <si>
    <t>217/TAG/GMT/X/2025</t>
  </si>
  <si>
    <t>218/TAG/GMT/X/2025</t>
  </si>
  <si>
    <t>219/TAG/GMT/X/2025</t>
  </si>
  <si>
    <t>220/TAG/GMT/X/2025</t>
  </si>
  <si>
    <t>221/TAG/GMT/X/2025</t>
  </si>
  <si>
    <t>222/TAG/GMT/X/2025</t>
  </si>
  <si>
    <t>PT. Cabot Indonesia</t>
  </si>
  <si>
    <t>223/TAG/GMT/X/2025</t>
  </si>
  <si>
    <t>PT. Allied Makmur Servis</t>
  </si>
  <si>
    <t>224/TAG/GMT/X/2025</t>
  </si>
  <si>
    <t>225/TAG/GMT/X/2025</t>
  </si>
  <si>
    <t>226/TAG/GMT/X/2025</t>
  </si>
  <si>
    <t>227/TAG/GMT/X/2025</t>
  </si>
  <si>
    <t>228/TAG/GMT/X/2025</t>
  </si>
  <si>
    <t>229/TAG/GMT/X/2025</t>
  </si>
  <si>
    <t>PT. Indoboiler</t>
  </si>
  <si>
    <t>230/TAG/GMT/X/2025</t>
  </si>
  <si>
    <t>231/TAG/GMT/X/2025</t>
  </si>
  <si>
    <t>232/TAG/GMT/X/2025</t>
  </si>
  <si>
    <t>233/TAG/GMT/X/2025</t>
  </si>
  <si>
    <t>PT. Timas Suplindo</t>
  </si>
  <si>
    <t>234/TAG/GMT/X/2025</t>
  </si>
  <si>
    <t>PT. Sumber Artomoro Sentosa</t>
  </si>
  <si>
    <t>Piutang GMT November 2025</t>
  </si>
  <si>
    <t>235/TAG/GMT/XI/2025</t>
  </si>
  <si>
    <t>236/TAG/GMT/XI/2025</t>
  </si>
  <si>
    <t>237/TAG/GMT/XI/2025</t>
  </si>
  <si>
    <t>PT. Restu Ibu Engineering</t>
  </si>
  <si>
    <t>238/TAG/GMT/XI/2025</t>
  </si>
  <si>
    <t>239/TAG/GMT/XI/2025</t>
  </si>
  <si>
    <t>240/TAG/GMT/XI/2025</t>
  </si>
  <si>
    <t>PT. Farrel Internusa Pratama</t>
  </si>
  <si>
    <t>241/TAG/GMT/XI/2025</t>
  </si>
  <si>
    <t>242/TAG/GMT/XI/2025</t>
  </si>
  <si>
    <t>243/TAG/GMT/XI/2025</t>
  </si>
  <si>
    <t>244/TAG/GMT/XI/2025</t>
  </si>
  <si>
    <t>245/TAG/GMT/XI/2025</t>
  </si>
  <si>
    <t>246/TAG/GMT/XI/2025</t>
  </si>
  <si>
    <t>247/TAG/GMT/XI/2025</t>
  </si>
  <si>
    <t>248/TAG/GMT/XI/2025</t>
  </si>
  <si>
    <t>249/TAG/GMT/XI/2025</t>
  </si>
  <si>
    <t>250/TAG/GMT/XI/2025</t>
  </si>
  <si>
    <t>251/TAG/GMT/XI/2025</t>
  </si>
  <si>
    <t>252/TAG/GMT/XI/2025</t>
  </si>
  <si>
    <t>253/TAG/GMT/XI/2025</t>
  </si>
  <si>
    <t>254/TAG/GMT/XI/2025</t>
  </si>
  <si>
    <t>255/TAG/GMT/XI/2025</t>
  </si>
  <si>
    <t>256/TAG/GMT/XI/2025</t>
  </si>
  <si>
    <t>257/TAG/GMT/XI/2025</t>
  </si>
  <si>
    <t>258/TAG/GMT/XI/2025</t>
  </si>
  <si>
    <t>259/TAG/GMT/XI/2025</t>
  </si>
  <si>
    <t>Piutang GMT Desember 2025</t>
  </si>
  <si>
    <t>260/TAG/GMT/XII/2025</t>
  </si>
  <si>
    <t>261/TAG/GMT/XII/2025</t>
  </si>
  <si>
    <t>262/TAG/GMT/XII/2025</t>
  </si>
  <si>
    <t>263/TAG/GMT/XII/2025</t>
  </si>
  <si>
    <t>264/TAG/GMT/XII/2025</t>
  </si>
  <si>
    <t>265/TAG/GMT/XII/2025</t>
  </si>
  <si>
    <t>266/TAG/GMT/XII/2025</t>
  </si>
  <si>
    <t>267/TAG/GMT/XII/2025</t>
  </si>
  <si>
    <t>268/TAG/GMT/XII/2025</t>
  </si>
  <si>
    <t>269/TAG/GMT/XII/2025</t>
  </si>
  <si>
    <t>270/TAG/GMT/XII/2025</t>
  </si>
  <si>
    <t>271/TAG/GMT/XII/2025</t>
  </si>
  <si>
    <t>272/TAG/GMT/XII/2025</t>
  </si>
  <si>
    <t>CV. Ramadhan &amp; CO</t>
  </si>
  <si>
    <t>273/TAG/GMT/XII/2025</t>
  </si>
  <si>
    <t>274/TAG/GMT/XII/2025</t>
  </si>
  <si>
    <t>275/TAG/GMT/XII/2025</t>
  </si>
  <si>
    <t>276/TAG/GMT/XII/2025</t>
  </si>
  <si>
    <t>CV. Genoil Putra Pasifik</t>
  </si>
  <si>
    <t>277/TAG/GMT/XII/2025</t>
  </si>
  <si>
    <t>278/TAG/GMT/XII/2025</t>
  </si>
  <si>
    <t>279/TAG/GMT/XII/2025</t>
  </si>
  <si>
    <t>280/TAG/GMT/XII/2025</t>
  </si>
  <si>
    <t>281/TAG/GMT/XII/2025</t>
  </si>
  <si>
    <t>282/TAG/GMT/XII/2025</t>
  </si>
  <si>
    <t>283/TAG/GMT/XII/2025</t>
  </si>
  <si>
    <t>328/TAG/GMT/XII/2024</t>
  </si>
  <si>
    <t>329/TAG/GMT/XII/2024</t>
  </si>
  <si>
    <t>330/TAG/GMT/XII/2024</t>
  </si>
  <si>
    <t>331/TAG/GMT/XII/2024</t>
  </si>
  <si>
    <t>332/TAG/GMT/XII/2024</t>
  </si>
  <si>
    <t>333/TAG/GMT/XII/2024</t>
  </si>
  <si>
    <t>334/TAG/GMT/XII/2024</t>
  </si>
  <si>
    <t>335/TAG/GMT/XII/2024</t>
  </si>
  <si>
    <t>336/TAG/GMT/XII/2024</t>
  </si>
  <si>
    <t>337/TAG/GMT/XII/2024</t>
  </si>
  <si>
    <t>338/TAG/GMT/XII/2024</t>
  </si>
  <si>
    <t>339/TAG/GMT/XII/2024</t>
  </si>
  <si>
    <t>340/TAG/GMT/XII/2024</t>
  </si>
  <si>
    <t>341/TAG/GMT/XII/2024</t>
  </si>
  <si>
    <t>342/TAG/GMT/XII/2024</t>
  </si>
  <si>
    <t>343/TAG/GMT/XII/2024</t>
  </si>
  <si>
    <t>344/TAG/GMT/XII/2024</t>
  </si>
  <si>
    <t>345/TAG/GMT/XII/2024</t>
  </si>
  <si>
    <t>346/TAG/GMT/XII/2024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</si>
</sst>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9">
    <numFmt numFmtId="41" formatCode="_-* #,##0_-;\-* #,##0_-;_-* &quot;-&quot;_-;_-@_-"/>
    <numFmt numFmtId="42" formatCode="_-&quot;£&quot;* #,##0_-;\-&quot;£&quot;* #,##0_-;_-&quot;£&quot;* &quot;-&quot;_-;_-@_-"/>
    <numFmt numFmtId="43" formatCode="_-* #,##0.00_-;\-* #,##0.00_-;_-* &quot;-&quot;??_-;_-@_-"/>
    <numFmt numFmtId="44" formatCode="_-&quot;£&quot;* #,##0.00_-;\-&quot;£&quot;* #,##0.00_-;_-&quot;£&quot;* &quot;-&quot;??_-;_-@_-"/>
    <numFmt numFmtId="176" formatCode="_(* #,##0_);_(* \(#,##0\);_(* &quot;-&quot;_);_(@_)"/>
    <numFmt numFmtId="177" formatCode="_(* #,##0.00_);_(* \(#,##0.00\);_(* &quot;-&quot;??_);_(@_)"/>
    <numFmt numFmtId="178" formatCode="#,##0;[Red]#,##0"/>
    <numFmt numFmtId="179" formatCode="[$-409]d\-mmm\-yy;@"/>
    <numFmt numFmtId="180" formatCode="_-* #,##0_-;\-* #,##0_-;_-* &quot;-&quot;??_-;_-@_-"/>
    <numFmt numFmtId="181" formatCode="#,##0.00;[Red]#,##0.00"/>
    <numFmt numFmtId="182" formatCode="dd\-mmm\-yy"/>
    <numFmt numFmtId="183" formatCode="_-* #,##0.0_-;\-* #,##0.0_-;_-* &quot;-&quot;??_-;_-@_-"/>
    <numFmt numFmtId="184" formatCode="_(* #,##0_);_(* \(#,##0\);_(* &quot;-&quot;??_);_(@_)"/>
    <numFmt numFmtId="185" formatCode="_-&quot;Rp&quot;* #,##0_-;\-&quot;Rp&quot;* #,##0_-;_-&quot;Rp&quot;* &quot;-&quot;_-;_-@_-"/>
    <numFmt numFmtId="186" formatCode="_-* #,##0.0000_-;\-* #,##0.0000_-;_-* &quot;-&quot;??_-;_-@_-"/>
    <numFmt numFmtId="187" formatCode="_-* #,##0.0000_-;\-* #,##0.0000_-;_-* &quot;-&quot;????_-;_-@_-"/>
    <numFmt numFmtId="188" formatCode="dd\-mmm"/>
    <numFmt numFmtId="189" formatCode="_([$Rp-421]* #,##0_);_([$Rp-421]* \(#,##0\);_([$Rp-421]* &quot;-&quot;_);_(@_)"/>
    <numFmt numFmtId="190" formatCode="_(* #,##0.00_);_(* \(#,##0.00\);_(* &quot;-&quot;_);_(@_)"/>
  </numFmts>
  <fonts count="36">
    <font>
      <sz val="11"/>
      <color theme="1"/>
      <name val="Calibri"/>
      <charset val="134"/>
      <scheme val="minor"/>
    </font>
    <font>
      <sz val="12"/>
      <color theme="1"/>
      <name val="Arial Black"/>
      <charset val="134"/>
    </font>
    <font>
      <b/>
      <sz val="11"/>
      <color theme="1"/>
      <name val="Calibri"/>
      <charset val="134"/>
      <scheme val="minor"/>
    </font>
    <font>
      <b/>
      <sz val="14"/>
      <color theme="1"/>
      <name val="Arial Black"/>
      <charset val="134"/>
    </font>
    <font>
      <b/>
      <sz val="12"/>
      <color theme="1"/>
      <name val="Calibri"/>
      <charset val="134"/>
      <scheme val="minor"/>
    </font>
    <font>
      <sz val="10"/>
      <color theme="1"/>
      <name val="Calibri"/>
      <charset val="134"/>
      <scheme val="minor"/>
    </font>
    <font>
      <sz val="10"/>
      <name val="Calibri"/>
      <charset val="134"/>
      <scheme val="minor"/>
    </font>
    <font>
      <b/>
      <sz val="10"/>
      <color theme="1"/>
      <name val="Calibri"/>
      <charset val="134"/>
      <scheme val="minor"/>
    </font>
    <font>
      <sz val="12"/>
      <color theme="1"/>
      <name val="Calibri"/>
      <charset val="134"/>
      <scheme val="minor"/>
    </font>
    <font>
      <b/>
      <sz val="10"/>
      <name val="Calibri"/>
      <charset val="134"/>
      <scheme val="minor"/>
    </font>
    <font>
      <sz val="8"/>
      <color theme="1"/>
      <name val="Book Antiqua"/>
      <charset val="134"/>
    </font>
    <font>
      <sz val="9"/>
      <color theme="1"/>
      <name val="Calibri"/>
      <charset val="134"/>
      <scheme val="minor"/>
    </font>
    <font>
      <b/>
      <sz val="16"/>
      <color theme="1"/>
      <name val="Calibri"/>
      <charset val="134"/>
      <scheme val="minor"/>
    </font>
    <font>
      <b/>
      <sz val="14"/>
      <color theme="1"/>
      <name val="Calibri"/>
      <charset val="134"/>
      <scheme val="minor"/>
    </font>
    <font>
      <b/>
      <sz val="1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theme="1"/>
      <name val="Calibri"/>
      <charset val="134"/>
    </font>
  </fonts>
  <fills count="3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/>
      <top style="hair">
        <color auto="1"/>
      </top>
      <bottom style="hair">
        <color auto="1"/>
      </bottom>
      <diagonal/>
    </border>
    <border>
      <left style="thin">
        <color auto="1"/>
      </left>
      <right style="thin">
        <color auto="1"/>
      </right>
      <top/>
      <bottom style="hair">
        <color auto="1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3" fontId="0" fillId="0" borderId="0" applyFont="0" applyFill="0" applyBorder="0" applyAlignment="0" applyProtection="0"/>
    <xf numFmtId="44" fontId="15" fillId="0" borderId="0" applyFont="0" applyFill="0" applyBorder="0" applyAlignment="0" applyProtection="0">
      <alignment vertical="center"/>
    </xf>
    <xf numFmtId="9" fontId="15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/>
    <xf numFmtId="42" fontId="15" fillId="0" borderId="0" applyFon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5" fillId="5" borderId="17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18" applyNumberFormat="0" applyFill="0" applyAlignment="0" applyProtection="0">
      <alignment vertical="center"/>
    </xf>
    <xf numFmtId="0" fontId="22" fillId="0" borderId="18" applyNumberFormat="0" applyFill="0" applyAlignment="0" applyProtection="0">
      <alignment vertical="center"/>
    </xf>
    <xf numFmtId="0" fontId="23" fillId="0" borderId="19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6" borderId="20" applyNumberFormat="0" applyAlignment="0" applyProtection="0">
      <alignment vertical="center"/>
    </xf>
    <xf numFmtId="0" fontId="25" fillId="7" borderId="21" applyNumberFormat="0" applyAlignment="0" applyProtection="0">
      <alignment vertical="center"/>
    </xf>
    <xf numFmtId="0" fontId="26" fillId="7" borderId="20" applyNumberFormat="0" applyAlignment="0" applyProtection="0">
      <alignment vertical="center"/>
    </xf>
    <xf numFmtId="0" fontId="27" fillId="8" borderId="22" applyNumberFormat="0" applyAlignment="0" applyProtection="0">
      <alignment vertical="center"/>
    </xf>
    <xf numFmtId="0" fontId="28" fillId="0" borderId="23" applyNumberFormat="0" applyFill="0" applyAlignment="0" applyProtection="0">
      <alignment vertical="center"/>
    </xf>
    <xf numFmtId="0" fontId="29" fillId="0" borderId="24" applyNumberFormat="0" applyFill="0" applyAlignment="0" applyProtection="0">
      <alignment vertical="center"/>
    </xf>
    <xf numFmtId="0" fontId="30" fillId="9" borderId="0" applyNumberFormat="0" applyBorder="0" applyAlignment="0" applyProtection="0">
      <alignment vertical="center"/>
    </xf>
    <xf numFmtId="0" fontId="31" fillId="10" borderId="0" applyNumberFormat="0" applyBorder="0" applyAlignment="0" applyProtection="0">
      <alignment vertical="center"/>
    </xf>
    <xf numFmtId="0" fontId="32" fillId="11" borderId="0" applyNumberFormat="0" applyBorder="0" applyAlignment="0" applyProtection="0">
      <alignment vertical="center"/>
    </xf>
    <xf numFmtId="0" fontId="33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4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3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4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3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4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3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4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3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4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3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4" fillId="34" borderId="0" applyNumberFormat="0" applyBorder="0" applyAlignment="0" applyProtection="0">
      <alignment vertical="center"/>
    </xf>
    <xf numFmtId="0" fontId="33" fillId="35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/>
  </cellStyleXfs>
  <cellXfs count="346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vertical="center"/>
    </xf>
    <xf numFmtId="0" fontId="0" fillId="0" borderId="0" xfId="0" applyAlignment="1">
      <alignment horizontal="right" vertical="center"/>
    </xf>
    <xf numFmtId="0" fontId="2" fillId="0" borderId="0" xfId="0" applyFont="1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178" fontId="3" fillId="2" borderId="2" xfId="0" applyNumberFormat="1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 wrapText="1"/>
    </xf>
    <xf numFmtId="178" fontId="4" fillId="2" borderId="3" xfId="0" applyNumberFormat="1" applyFont="1" applyFill="1" applyBorder="1" applyAlignment="1">
      <alignment horizontal="center" vertical="center"/>
    </xf>
    <xf numFmtId="179" fontId="5" fillId="0" borderId="4" xfId="0" applyNumberFormat="1" applyFont="1" applyBorder="1" applyAlignment="1">
      <alignment vertical="center"/>
    </xf>
    <xf numFmtId="0" fontId="5" fillId="0" borderId="4" xfId="0" applyFont="1" applyBorder="1" applyAlignment="1">
      <alignment vertical="center"/>
    </xf>
    <xf numFmtId="178" fontId="5" fillId="0" borderId="4" xfId="0" applyNumberFormat="1" applyFont="1" applyBorder="1" applyAlignment="1">
      <alignment horizontal="right" vertical="center"/>
    </xf>
    <xf numFmtId="179" fontId="5" fillId="0" borderId="5" xfId="0" applyNumberFormat="1" applyFont="1" applyBorder="1" applyAlignment="1">
      <alignment vertical="center"/>
    </xf>
    <xf numFmtId="0" fontId="5" fillId="0" borderId="5" xfId="0" applyFont="1" applyBorder="1" applyAlignment="1">
      <alignment vertical="center"/>
    </xf>
    <xf numFmtId="178" fontId="5" fillId="0" borderId="5" xfId="0" applyNumberFormat="1" applyFont="1" applyBorder="1" applyAlignment="1">
      <alignment horizontal="right" vertical="center"/>
    </xf>
    <xf numFmtId="0" fontId="6" fillId="0" borderId="5" xfId="0" applyFont="1" applyBorder="1" applyAlignment="1">
      <alignment vertical="center"/>
    </xf>
    <xf numFmtId="178" fontId="6" fillId="0" borderId="5" xfId="0" applyNumberFormat="1" applyFont="1" applyBorder="1" applyAlignment="1">
      <alignment horizontal="right" vertical="center"/>
    </xf>
    <xf numFmtId="179" fontId="5" fillId="0" borderId="6" xfId="0" applyNumberFormat="1" applyFont="1" applyBorder="1" applyAlignment="1">
      <alignment vertical="center"/>
    </xf>
    <xf numFmtId="0" fontId="5" fillId="0" borderId="6" xfId="0" applyFont="1" applyBorder="1" applyAlignment="1">
      <alignment vertical="center"/>
    </xf>
    <xf numFmtId="178" fontId="5" fillId="0" borderId="6" xfId="0" applyNumberFormat="1" applyFont="1" applyBorder="1" applyAlignment="1">
      <alignment horizontal="right" vertical="center"/>
    </xf>
    <xf numFmtId="179" fontId="7" fillId="2" borderId="3" xfId="0" applyNumberFormat="1" applyFont="1" applyFill="1" applyBorder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180" fontId="7" fillId="2" borderId="3" xfId="1" applyNumberFormat="1" applyFont="1" applyFill="1" applyBorder="1" applyAlignment="1">
      <alignment horizontal="right" vertical="center"/>
    </xf>
    <xf numFmtId="178" fontId="0" fillId="0" borderId="0" xfId="0" applyNumberFormat="1" applyAlignment="1">
      <alignment vertical="center"/>
    </xf>
    <xf numFmtId="181" fontId="0" fillId="0" borderId="0" xfId="0" applyNumberFormat="1" applyAlignment="1">
      <alignment horizontal="right" vertical="center"/>
    </xf>
    <xf numFmtId="181" fontId="0" fillId="0" borderId="0" xfId="0" applyNumberFormat="1" applyAlignment="1">
      <alignment vertical="center"/>
    </xf>
    <xf numFmtId="181" fontId="4" fillId="2" borderId="3" xfId="0" applyNumberFormat="1" applyFont="1" applyFill="1" applyBorder="1" applyAlignment="1">
      <alignment horizontal="center" vertical="center"/>
    </xf>
    <xf numFmtId="178" fontId="5" fillId="0" borderId="4" xfId="0" applyNumberFormat="1" applyFont="1" applyBorder="1" applyAlignment="1">
      <alignment vertical="center"/>
    </xf>
    <xf numFmtId="178" fontId="7" fillId="3" borderId="4" xfId="0" applyNumberFormat="1" applyFont="1" applyFill="1" applyBorder="1" applyAlignment="1">
      <alignment vertical="center"/>
    </xf>
    <xf numFmtId="178" fontId="5" fillId="0" borderId="5" xfId="0" applyNumberFormat="1" applyFont="1" applyBorder="1" applyAlignment="1">
      <alignment vertical="center"/>
    </xf>
    <xf numFmtId="178" fontId="7" fillId="3" borderId="5" xfId="0" applyNumberFormat="1" applyFont="1" applyFill="1" applyBorder="1" applyAlignment="1">
      <alignment vertical="center"/>
    </xf>
    <xf numFmtId="178" fontId="5" fillId="0" borderId="5" xfId="4" applyNumberFormat="1" applyFont="1" applyFill="1" applyBorder="1" applyAlignment="1">
      <alignment horizontal="right" vertical="center"/>
    </xf>
    <xf numFmtId="180" fontId="5" fillId="0" borderId="5" xfId="1" applyNumberFormat="1" applyFont="1" applyFill="1" applyBorder="1" applyAlignment="1">
      <alignment horizontal="center" vertical="center"/>
    </xf>
    <xf numFmtId="178" fontId="5" fillId="0" borderId="6" xfId="0" applyNumberFormat="1" applyFont="1" applyBorder="1" applyAlignment="1">
      <alignment horizontal="center" vertical="center"/>
    </xf>
    <xf numFmtId="178" fontId="5" fillId="0" borderId="6" xfId="0" applyNumberFormat="1" applyFont="1" applyBorder="1" applyAlignment="1">
      <alignment vertical="center"/>
    </xf>
    <xf numFmtId="178" fontId="7" fillId="3" borderId="7" xfId="0" applyNumberFormat="1" applyFont="1" applyFill="1" applyBorder="1" applyAlignment="1">
      <alignment vertical="center"/>
    </xf>
    <xf numFmtId="180" fontId="7" fillId="2" borderId="2" xfId="1" applyNumberFormat="1" applyFont="1" applyFill="1" applyBorder="1" applyAlignment="1">
      <alignment horizontal="right" vertical="center"/>
    </xf>
    <xf numFmtId="180" fontId="0" fillId="0" borderId="0" xfId="1" applyNumberFormat="1" applyFont="1"/>
    <xf numFmtId="178" fontId="3" fillId="0" borderId="0" xfId="0" applyNumberFormat="1" applyFont="1" applyAlignment="1">
      <alignment horizontal="center" vertical="center" wrapText="1"/>
    </xf>
    <xf numFmtId="181" fontId="4" fillId="2" borderId="2" xfId="0" applyNumberFormat="1" applyFont="1" applyFill="1" applyBorder="1" applyAlignment="1">
      <alignment horizontal="center" vertical="center" wrapText="1"/>
    </xf>
    <xf numFmtId="181" fontId="4" fillId="2" borderId="2" xfId="0" applyNumberFormat="1" applyFont="1" applyFill="1" applyBorder="1" applyAlignment="1">
      <alignment horizontal="center" vertical="center"/>
    </xf>
    <xf numFmtId="181" fontId="4" fillId="0" borderId="0" xfId="0" applyNumberFormat="1" applyFont="1" applyAlignment="1">
      <alignment horizontal="center" vertical="center"/>
    </xf>
    <xf numFmtId="178" fontId="7" fillId="0" borderId="4" xfId="0" applyNumberFormat="1" applyFont="1" applyBorder="1" applyAlignment="1">
      <alignment horizontal="right" vertical="center"/>
    </xf>
    <xf numFmtId="178" fontId="7" fillId="0" borderId="0" xfId="0" applyNumberFormat="1" applyFont="1" applyAlignment="1">
      <alignment horizontal="right" vertical="center"/>
    </xf>
    <xf numFmtId="182" fontId="0" fillId="0" borderId="4" xfId="0" applyNumberFormat="1" applyBorder="1" applyAlignment="1">
      <alignment horizontal="center" vertical="center"/>
    </xf>
    <xf numFmtId="178" fontId="7" fillId="0" borderId="5" xfId="0" applyNumberFormat="1" applyFont="1" applyBorder="1" applyAlignment="1">
      <alignment horizontal="right" vertical="center"/>
    </xf>
    <xf numFmtId="178" fontId="7" fillId="0" borderId="8" xfId="0" applyNumberFormat="1" applyFont="1" applyBorder="1" applyAlignment="1">
      <alignment horizontal="right" vertical="center"/>
    </xf>
    <xf numFmtId="182" fontId="2" fillId="0" borderId="5" xfId="0" applyNumberFormat="1" applyFont="1" applyBorder="1" applyAlignment="1">
      <alignment horizontal="center" vertical="center"/>
    </xf>
    <xf numFmtId="182" fontId="0" fillId="0" borderId="5" xfId="0" applyNumberFormat="1" applyBorder="1" applyAlignment="1">
      <alignment horizontal="center" vertical="center"/>
    </xf>
    <xf numFmtId="182" fontId="0" fillId="0" borderId="5" xfId="0" applyNumberFormat="1" applyBorder="1"/>
    <xf numFmtId="178" fontId="5" fillId="0" borderId="7" xfId="0" applyNumberFormat="1" applyFont="1" applyBorder="1" applyAlignment="1">
      <alignment horizontal="right" vertical="center"/>
    </xf>
    <xf numFmtId="178" fontId="7" fillId="0" borderId="6" xfId="0" applyNumberFormat="1" applyFont="1" applyBorder="1" applyAlignment="1">
      <alignment horizontal="right" vertical="center"/>
    </xf>
    <xf numFmtId="179" fontId="7" fillId="0" borderId="7" xfId="0" applyNumberFormat="1" applyFont="1" applyBorder="1" applyAlignment="1">
      <alignment horizontal="center" vertical="center"/>
    </xf>
    <xf numFmtId="43" fontId="0" fillId="0" borderId="0" xfId="1" applyFont="1"/>
    <xf numFmtId="177" fontId="0" fillId="0" borderId="0" xfId="0" applyNumberFormat="1"/>
    <xf numFmtId="178" fontId="0" fillId="0" borderId="0" xfId="0" applyNumberFormat="1"/>
    <xf numFmtId="181" fontId="4" fillId="2" borderId="1" xfId="0" applyNumberFormat="1" applyFont="1" applyFill="1" applyBorder="1" applyAlignment="1">
      <alignment horizontal="center" vertical="center" wrapText="1"/>
    </xf>
    <xf numFmtId="181" fontId="4" fillId="2" borderId="3" xfId="0" applyNumberFormat="1" applyFont="1" applyFill="1" applyBorder="1" applyAlignment="1">
      <alignment horizontal="center" vertical="center" wrapText="1"/>
    </xf>
    <xf numFmtId="0" fontId="8" fillId="0" borderId="4" xfId="0" applyFont="1" applyBorder="1" applyAlignment="1">
      <alignment horizontal="center" vertical="center"/>
    </xf>
    <xf numFmtId="178" fontId="0" fillId="0" borderId="1" xfId="0" applyNumberFormat="1" applyBorder="1" applyAlignment="1">
      <alignment vertical="center"/>
    </xf>
    <xf numFmtId="180" fontId="0" fillId="0" borderId="5" xfId="1" applyNumberFormat="1" applyFont="1" applyBorder="1" applyAlignment="1">
      <alignment vertical="center"/>
    </xf>
    <xf numFmtId="43" fontId="7" fillId="0" borderId="5" xfId="1" applyFont="1" applyFill="1" applyBorder="1" applyAlignment="1">
      <alignment horizontal="center" vertical="center"/>
    </xf>
    <xf numFmtId="178" fontId="0" fillId="0" borderId="5" xfId="0" applyNumberFormat="1" applyBorder="1" applyAlignment="1">
      <alignment vertical="center"/>
    </xf>
    <xf numFmtId="180" fontId="5" fillId="0" borderId="5" xfId="1" applyNumberFormat="1" applyFont="1" applyBorder="1" applyAlignment="1">
      <alignment vertical="center"/>
    </xf>
    <xf numFmtId="0" fontId="8" fillId="0" borderId="5" xfId="0" applyFont="1" applyBorder="1" applyAlignment="1">
      <alignment horizontal="center" vertical="center"/>
    </xf>
    <xf numFmtId="176" fontId="0" fillId="0" borderId="5" xfId="4" applyFont="1" applyBorder="1" applyAlignment="1">
      <alignment horizontal="center" vertical="center"/>
    </xf>
    <xf numFmtId="180" fontId="8" fillId="0" borderId="5" xfId="1" applyNumberFormat="1" applyFont="1" applyBorder="1" applyAlignment="1">
      <alignment horizontal="center" vertical="center"/>
    </xf>
    <xf numFmtId="0" fontId="0" fillId="0" borderId="5" xfId="0" applyBorder="1"/>
    <xf numFmtId="0" fontId="2" fillId="0" borderId="5" xfId="0" applyFont="1" applyBorder="1"/>
    <xf numFmtId="43" fontId="0" fillId="0" borderId="5" xfId="1" applyFont="1" applyBorder="1"/>
    <xf numFmtId="178" fontId="0" fillId="0" borderId="9" xfId="0" applyNumberFormat="1" applyBorder="1" applyAlignment="1">
      <alignment vertical="center"/>
    </xf>
    <xf numFmtId="180" fontId="0" fillId="0" borderId="0" xfId="0" applyNumberFormat="1" applyAlignment="1">
      <alignment vertical="center"/>
    </xf>
    <xf numFmtId="180" fontId="0" fillId="0" borderId="0" xfId="0" applyNumberFormat="1"/>
    <xf numFmtId="178" fontId="6" fillId="0" borderId="4" xfId="0" applyNumberFormat="1" applyFont="1" applyBorder="1" applyAlignment="1">
      <alignment horizontal="right" vertical="center"/>
    </xf>
    <xf numFmtId="4" fontId="6" fillId="0" borderId="5" xfId="0" applyNumberFormat="1" applyFont="1" applyBorder="1" applyAlignment="1">
      <alignment horizontal="right" vertical="center"/>
    </xf>
    <xf numFmtId="179" fontId="6" fillId="0" borderId="5" xfId="0" applyNumberFormat="1" applyFont="1" applyBorder="1" applyAlignment="1">
      <alignment vertical="center"/>
    </xf>
    <xf numFmtId="178" fontId="6" fillId="0" borderId="4" xfId="0" applyNumberFormat="1" applyFont="1" applyBorder="1" applyAlignment="1">
      <alignment vertical="center"/>
    </xf>
    <xf numFmtId="181" fontId="6" fillId="0" borderId="4" xfId="0" applyNumberFormat="1" applyFont="1" applyBorder="1" applyAlignment="1">
      <alignment horizontal="right" vertical="center"/>
    </xf>
    <xf numFmtId="181" fontId="6" fillId="0" borderId="4" xfId="0" applyNumberFormat="1" applyFont="1" applyBorder="1" applyAlignment="1">
      <alignment vertical="center"/>
    </xf>
    <xf numFmtId="178" fontId="9" fillId="3" borderId="4" xfId="0" applyNumberFormat="1" applyFont="1" applyFill="1" applyBorder="1" applyAlignment="1">
      <alignment vertical="center"/>
    </xf>
    <xf numFmtId="178" fontId="6" fillId="0" borderId="5" xfId="0" applyNumberFormat="1" applyFont="1" applyBorder="1" applyAlignment="1">
      <alignment vertical="center"/>
    </xf>
    <xf numFmtId="181" fontId="6" fillId="0" borderId="5" xfId="0" applyNumberFormat="1" applyFont="1" applyBorder="1" applyAlignment="1">
      <alignment horizontal="right" vertical="center"/>
    </xf>
    <xf numFmtId="181" fontId="6" fillId="0" borderId="5" xfId="0" applyNumberFormat="1" applyFont="1" applyBorder="1" applyAlignment="1">
      <alignment vertical="center"/>
    </xf>
    <xf numFmtId="178" fontId="9" fillId="3" borderId="5" xfId="0" applyNumberFormat="1" applyFont="1" applyFill="1" applyBorder="1" applyAlignment="1">
      <alignment vertical="center"/>
    </xf>
    <xf numFmtId="178" fontId="7" fillId="2" borderId="3" xfId="0" applyNumberFormat="1" applyFont="1" applyFill="1" applyBorder="1" applyAlignment="1">
      <alignment horizontal="right" vertical="center"/>
    </xf>
    <xf numFmtId="181" fontId="0" fillId="0" borderId="0" xfId="0" applyNumberFormat="1"/>
    <xf numFmtId="178" fontId="9" fillId="0" borderId="4" xfId="0" applyNumberFormat="1" applyFont="1" applyBorder="1" applyAlignment="1">
      <alignment horizontal="right" vertical="center"/>
    </xf>
    <xf numFmtId="0" fontId="8" fillId="0" borderId="0" xfId="0" applyFont="1" applyAlignment="1">
      <alignment horizontal="center" vertical="center"/>
    </xf>
    <xf numFmtId="178" fontId="9" fillId="0" borderId="5" xfId="0" applyNumberFormat="1" applyFont="1" applyBorder="1" applyAlignment="1">
      <alignment horizontal="right" vertical="center"/>
    </xf>
    <xf numFmtId="182" fontId="2" fillId="0" borderId="7" xfId="0" applyNumberFormat="1" applyFont="1" applyBorder="1" applyAlignment="1">
      <alignment horizontal="center" vertical="center"/>
    </xf>
    <xf numFmtId="182" fontId="0" fillId="0" borderId="7" xfId="0" applyNumberFormat="1" applyBorder="1" applyAlignment="1">
      <alignment horizontal="center" vertical="center"/>
    </xf>
    <xf numFmtId="178" fontId="7" fillId="2" borderId="2" xfId="0" applyNumberFormat="1" applyFont="1" applyFill="1" applyBorder="1" applyAlignment="1">
      <alignment horizontal="right" vertical="center"/>
    </xf>
    <xf numFmtId="176" fontId="0" fillId="0" borderId="0" xfId="4" applyFont="1"/>
    <xf numFmtId="180" fontId="7" fillId="0" borderId="0" xfId="1" applyNumberFormat="1" applyFont="1" applyFill="1" applyBorder="1" applyAlignment="1">
      <alignment horizontal="right" vertical="center"/>
    </xf>
    <xf numFmtId="176" fontId="0" fillId="0" borderId="0" xfId="0" applyNumberFormat="1"/>
    <xf numFmtId="180" fontId="7" fillId="0" borderId="4" xfId="1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vertical="center"/>
    </xf>
    <xf numFmtId="180" fontId="0" fillId="0" borderId="4" xfId="0" applyNumberFormat="1" applyBorder="1" applyAlignment="1">
      <alignment vertical="center"/>
    </xf>
    <xf numFmtId="180" fontId="7" fillId="0" borderId="5" xfId="1" applyNumberFormat="1" applyFont="1" applyFill="1" applyBorder="1" applyAlignment="1">
      <alignment vertical="center"/>
    </xf>
    <xf numFmtId="178" fontId="7" fillId="0" borderId="5" xfId="0" applyNumberFormat="1" applyFont="1" applyBorder="1" applyAlignment="1">
      <alignment vertical="center"/>
    </xf>
    <xf numFmtId="43" fontId="7" fillId="0" borderId="5" xfId="1" applyFont="1" applyBorder="1" applyAlignment="1">
      <alignment vertical="center"/>
    </xf>
    <xf numFmtId="176" fontId="5" fillId="0" borderId="5" xfId="4" applyFont="1" applyBorder="1" applyAlignment="1">
      <alignment horizontal="center" vertical="center"/>
    </xf>
    <xf numFmtId="180" fontId="7" fillId="0" borderId="7" xfId="1" applyNumberFormat="1" applyFont="1" applyFill="1" applyBorder="1" applyAlignment="1">
      <alignment vertical="center"/>
    </xf>
    <xf numFmtId="178" fontId="7" fillId="0" borderId="9" xfId="0" applyNumberFormat="1" applyFont="1" applyBorder="1" applyAlignment="1">
      <alignment vertical="center"/>
    </xf>
    <xf numFmtId="180" fontId="5" fillId="0" borderId="7" xfId="1" applyNumberFormat="1" applyFont="1" applyBorder="1" applyAlignment="1">
      <alignment vertical="center"/>
    </xf>
    <xf numFmtId="0" fontId="8" fillId="0" borderId="7" xfId="0" applyFont="1" applyBorder="1" applyAlignment="1">
      <alignment horizontal="center" vertical="center"/>
    </xf>
    <xf numFmtId="178" fontId="0" fillId="4" borderId="4" xfId="0" applyNumberFormat="1" applyFill="1" applyBorder="1" applyAlignment="1">
      <alignment vertical="center"/>
    </xf>
    <xf numFmtId="0" fontId="0" fillId="4" borderId="4" xfId="0" applyFill="1" applyBorder="1" applyAlignment="1">
      <alignment vertical="center"/>
    </xf>
    <xf numFmtId="178" fontId="0" fillId="4" borderId="5" xfId="0" applyNumberFormat="1" applyFill="1" applyBorder="1" applyAlignment="1">
      <alignment vertical="center"/>
    </xf>
    <xf numFmtId="0" fontId="0" fillId="4" borderId="5" xfId="0" applyFill="1" applyBorder="1" applyAlignment="1">
      <alignment vertical="center"/>
    </xf>
    <xf numFmtId="0" fontId="0" fillId="0" borderId="5" xfId="0" applyBorder="1" applyAlignment="1">
      <alignment vertical="center"/>
    </xf>
    <xf numFmtId="180" fontId="0" fillId="0" borderId="5" xfId="0" applyNumberFormat="1" applyBorder="1" applyAlignment="1">
      <alignment vertical="center"/>
    </xf>
    <xf numFmtId="178" fontId="0" fillId="4" borderId="7" xfId="0" applyNumberFormat="1" applyFill="1" applyBorder="1" applyAlignment="1">
      <alignment vertical="center"/>
    </xf>
    <xf numFmtId="0" fontId="0" fillId="4" borderId="7" xfId="0" applyFill="1" applyBorder="1" applyAlignment="1">
      <alignment vertical="center"/>
    </xf>
    <xf numFmtId="0" fontId="0" fillId="0" borderId="6" xfId="0" applyBorder="1" applyAlignment="1">
      <alignment vertical="center"/>
    </xf>
    <xf numFmtId="180" fontId="5" fillId="0" borderId="4" xfId="1" applyNumberFormat="1" applyFont="1" applyBorder="1" applyAlignment="1">
      <alignment horizontal="right" vertical="center"/>
    </xf>
    <xf numFmtId="180" fontId="5" fillId="0" borderId="5" xfId="1" applyNumberFormat="1" applyFont="1" applyBorder="1" applyAlignment="1">
      <alignment horizontal="right" vertical="center"/>
    </xf>
    <xf numFmtId="179" fontId="5" fillId="0" borderId="7" xfId="0" applyNumberFormat="1" applyFont="1" applyBorder="1" applyAlignment="1">
      <alignment vertical="center"/>
    </xf>
    <xf numFmtId="0" fontId="5" fillId="0" borderId="7" xfId="0" applyFont="1" applyBorder="1" applyAlignment="1">
      <alignment vertical="center"/>
    </xf>
    <xf numFmtId="180" fontId="5" fillId="0" borderId="7" xfId="1" applyNumberFormat="1" applyFont="1" applyFill="1" applyBorder="1" applyAlignment="1">
      <alignment vertical="center"/>
    </xf>
    <xf numFmtId="180" fontId="5" fillId="0" borderId="5" xfId="1" applyNumberFormat="1" applyFont="1" applyFill="1" applyBorder="1" applyAlignment="1">
      <alignment horizontal="right" vertical="center"/>
    </xf>
    <xf numFmtId="180" fontId="5" fillId="3" borderId="5" xfId="1" applyNumberFormat="1" applyFont="1" applyFill="1" applyBorder="1" applyAlignment="1">
      <alignment horizontal="right" vertical="center"/>
    </xf>
    <xf numFmtId="180" fontId="5" fillId="0" borderId="4" xfId="1" applyNumberFormat="1" applyFont="1" applyBorder="1" applyAlignment="1">
      <alignment vertical="center"/>
    </xf>
    <xf numFmtId="180" fontId="5" fillId="3" borderId="4" xfId="1" applyNumberFormat="1" applyFont="1" applyFill="1" applyBorder="1" applyAlignment="1">
      <alignment vertical="center"/>
    </xf>
    <xf numFmtId="180" fontId="5" fillId="3" borderId="5" xfId="1" applyNumberFormat="1" applyFont="1" applyFill="1" applyBorder="1" applyAlignment="1">
      <alignment vertical="center"/>
    </xf>
    <xf numFmtId="180" fontId="5" fillId="0" borderId="5" xfId="1" applyNumberFormat="1" applyFont="1" applyFill="1" applyBorder="1" applyAlignment="1">
      <alignment vertical="center"/>
    </xf>
    <xf numFmtId="183" fontId="7" fillId="2" borderId="3" xfId="1" applyNumberFormat="1" applyFont="1" applyFill="1" applyBorder="1" applyAlignment="1">
      <alignment horizontal="right" vertical="center"/>
    </xf>
    <xf numFmtId="3" fontId="0" fillId="0" borderId="0" xfId="0" applyNumberFormat="1"/>
    <xf numFmtId="180" fontId="2" fillId="0" borderId="0" xfId="1" applyNumberFormat="1" applyFont="1"/>
    <xf numFmtId="176" fontId="2" fillId="0" borderId="0" xfId="4" applyFont="1"/>
    <xf numFmtId="180" fontId="5" fillId="0" borderId="4" xfId="1" applyNumberFormat="1" applyFont="1" applyBorder="1" applyAlignment="1">
      <alignment horizontal="center" vertical="center"/>
    </xf>
    <xf numFmtId="182" fontId="2" fillId="0" borderId="4" xfId="0" applyNumberFormat="1" applyFont="1" applyBorder="1" applyAlignment="1">
      <alignment horizontal="center" vertical="center"/>
    </xf>
    <xf numFmtId="180" fontId="5" fillId="0" borderId="5" xfId="1" applyNumberFormat="1" applyFont="1" applyBorder="1" applyAlignment="1">
      <alignment horizontal="center" vertical="center"/>
    </xf>
    <xf numFmtId="182" fontId="2" fillId="0" borderId="9" xfId="0" applyNumberFormat="1" applyFont="1" applyBorder="1" applyAlignment="1">
      <alignment horizontal="center" vertical="center"/>
    </xf>
    <xf numFmtId="180" fontId="5" fillId="3" borderId="5" xfId="1" applyNumberFormat="1" applyFont="1" applyFill="1" applyBorder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182" fontId="0" fillId="3" borderId="5" xfId="0" applyNumberFormat="1" applyFill="1" applyBorder="1" applyAlignment="1">
      <alignment horizontal="center" vertical="center"/>
    </xf>
    <xf numFmtId="0" fontId="2" fillId="0" borderId="0" xfId="0" applyFont="1"/>
    <xf numFmtId="180" fontId="5" fillId="0" borderId="4" xfId="0" applyNumberFormat="1" applyFont="1" applyBorder="1" applyAlignment="1">
      <alignment vertical="center"/>
    </xf>
    <xf numFmtId="180" fontId="7" fillId="0" borderId="9" xfId="1" applyNumberFormat="1" applyFont="1" applyBorder="1" applyAlignment="1">
      <alignment horizontal="right" vertical="center"/>
    </xf>
    <xf numFmtId="184" fontId="7" fillId="0" borderId="5" xfId="0" applyNumberFormat="1" applyFont="1" applyBorder="1" applyAlignment="1">
      <alignment horizontal="center" vertical="center"/>
    </xf>
    <xf numFmtId="184" fontId="5" fillId="0" borderId="5" xfId="0" applyNumberFormat="1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180" fontId="8" fillId="0" borderId="5" xfId="0" applyNumberFormat="1" applyFont="1" applyBorder="1" applyAlignment="1">
      <alignment horizontal="center" vertical="center"/>
    </xf>
    <xf numFmtId="43" fontId="5" fillId="3" borderId="5" xfId="1" applyFont="1" applyFill="1" applyBorder="1" applyAlignment="1">
      <alignment vertical="center"/>
    </xf>
    <xf numFmtId="0" fontId="0" fillId="3" borderId="0" xfId="0" applyFill="1" applyAlignment="1">
      <alignment vertical="center"/>
    </xf>
    <xf numFmtId="180" fontId="7" fillId="0" borderId="0" xfId="0" applyNumberFormat="1" applyFont="1" applyAlignment="1">
      <alignment vertical="center"/>
    </xf>
    <xf numFmtId="180" fontId="4" fillId="0" borderId="5" xfId="0" applyNumberFormat="1" applyFont="1" applyBorder="1" applyAlignment="1">
      <alignment horizontal="center" vertical="center"/>
    </xf>
    <xf numFmtId="180" fontId="7" fillId="0" borderId="5" xfId="0" applyNumberFormat="1" applyFont="1" applyBorder="1" applyAlignment="1">
      <alignment vertical="center"/>
    </xf>
    <xf numFmtId="0" fontId="0" fillId="0" borderId="4" xfId="0" applyBorder="1" applyAlignment="1">
      <alignment vertical="center"/>
    </xf>
    <xf numFmtId="179" fontId="5" fillId="0" borderId="5" xfId="0" applyNumberFormat="1" applyFont="1" applyBorder="1" applyAlignment="1">
      <alignment horizontal="center" vertical="center"/>
    </xf>
    <xf numFmtId="180" fontId="5" fillId="0" borderId="5" xfId="0" applyNumberFormat="1" applyFont="1" applyBorder="1" applyAlignment="1">
      <alignment vertical="center"/>
    </xf>
    <xf numFmtId="3" fontId="5" fillId="0" borderId="5" xfId="4" applyNumberFormat="1" applyFont="1" applyBorder="1" applyAlignment="1">
      <alignment horizontal="right" vertical="center"/>
    </xf>
    <xf numFmtId="3" fontId="5" fillId="0" borderId="5" xfId="0" applyNumberFormat="1" applyFont="1" applyBorder="1" applyAlignment="1">
      <alignment horizontal="right" vertical="center"/>
    </xf>
    <xf numFmtId="3" fontId="5" fillId="0" borderId="7" xfId="0" applyNumberFormat="1" applyFont="1" applyBorder="1" applyAlignment="1">
      <alignment horizontal="right" vertical="center"/>
    </xf>
    <xf numFmtId="179" fontId="7" fillId="2" borderId="2" xfId="0" applyNumberFormat="1" applyFont="1" applyFill="1" applyBorder="1" applyAlignment="1">
      <alignment vertical="center"/>
    </xf>
    <xf numFmtId="0" fontId="7" fillId="2" borderId="2" xfId="0" applyFont="1" applyFill="1" applyBorder="1" applyAlignment="1">
      <alignment horizontal="center" vertical="center"/>
    </xf>
    <xf numFmtId="3" fontId="5" fillId="0" borderId="5" xfId="0" applyNumberFormat="1" applyFont="1" applyBorder="1" applyAlignment="1">
      <alignment vertical="center"/>
    </xf>
    <xf numFmtId="3" fontId="5" fillId="0" borderId="4" xfId="0" applyNumberFormat="1" applyFont="1" applyBorder="1" applyAlignment="1">
      <alignment vertical="center"/>
    </xf>
    <xf numFmtId="3" fontId="5" fillId="3" borderId="4" xfId="0" applyNumberFormat="1" applyFont="1" applyFill="1" applyBorder="1" applyAlignment="1">
      <alignment vertical="center"/>
    </xf>
    <xf numFmtId="3" fontId="5" fillId="3" borderId="5" xfId="0" applyNumberFormat="1" applyFont="1" applyFill="1" applyBorder="1" applyAlignment="1">
      <alignment vertical="center"/>
    </xf>
    <xf numFmtId="3" fontId="5" fillId="0" borderId="7" xfId="0" applyNumberFormat="1" applyFont="1" applyBorder="1" applyAlignment="1">
      <alignment vertical="center"/>
    </xf>
    <xf numFmtId="178" fontId="0" fillId="0" borderId="0" xfId="1" applyNumberFormat="1" applyFont="1"/>
    <xf numFmtId="3" fontId="5" fillId="0" borderId="4" xfId="0" applyNumberFormat="1" applyFont="1" applyBorder="1" applyAlignment="1">
      <alignment horizontal="right" vertical="center"/>
    </xf>
    <xf numFmtId="182" fontId="5" fillId="0" borderId="5" xfId="0" applyNumberFormat="1" applyFont="1" applyBorder="1" applyAlignment="1">
      <alignment horizontal="center" vertical="center"/>
    </xf>
    <xf numFmtId="179" fontId="7" fillId="0" borderId="5" xfId="0" applyNumberFormat="1" applyFont="1" applyBorder="1" applyAlignment="1">
      <alignment horizontal="center" vertical="center"/>
    </xf>
    <xf numFmtId="41" fontId="0" fillId="0" borderId="0" xfId="0" applyNumberFormat="1"/>
    <xf numFmtId="43" fontId="0" fillId="0" borderId="0" xfId="0" applyNumberFormat="1"/>
    <xf numFmtId="41" fontId="0" fillId="0" borderId="4" xfId="0" applyNumberFormat="1" applyBorder="1" applyAlignment="1">
      <alignment vertical="center"/>
    </xf>
    <xf numFmtId="41" fontId="5" fillId="0" borderId="5" xfId="1" applyNumberFormat="1" applyFont="1" applyBorder="1" applyAlignment="1">
      <alignment vertical="center"/>
    </xf>
    <xf numFmtId="41" fontId="0" fillId="0" borderId="5" xfId="0" applyNumberFormat="1" applyBorder="1" applyAlignment="1">
      <alignment vertical="center"/>
    </xf>
    <xf numFmtId="41" fontId="7" fillId="0" borderId="5" xfId="1" applyNumberFormat="1" applyFont="1" applyBorder="1" applyAlignment="1">
      <alignment vertical="center"/>
    </xf>
    <xf numFmtId="184" fontId="5" fillId="0" borderId="5" xfId="0" applyNumberFormat="1" applyFont="1" applyBorder="1" applyAlignment="1">
      <alignment vertical="center"/>
    </xf>
    <xf numFmtId="184" fontId="0" fillId="0" borderId="0" xfId="0" applyNumberFormat="1" applyAlignment="1">
      <alignment vertical="center"/>
    </xf>
    <xf numFmtId="184" fontId="5" fillId="0" borderId="10" xfId="0" applyNumberFormat="1" applyFont="1" applyBorder="1" applyAlignment="1">
      <alignment vertical="center"/>
    </xf>
    <xf numFmtId="180" fontId="5" fillId="0" borderId="5" xfId="0" applyNumberFormat="1" applyFont="1" applyBorder="1" applyAlignment="1">
      <alignment horizontal="right" vertical="center"/>
    </xf>
    <xf numFmtId="180" fontId="5" fillId="0" borderId="7" xfId="0" applyNumberFormat="1" applyFont="1" applyBorder="1" applyAlignment="1">
      <alignment horizontal="right" vertical="center"/>
    </xf>
    <xf numFmtId="180" fontId="5" fillId="0" borderId="5" xfId="4" applyNumberFormat="1" applyFont="1" applyBorder="1" applyAlignment="1">
      <alignment horizontal="right" vertical="center"/>
    </xf>
    <xf numFmtId="180" fontId="5" fillId="0" borderId="6" xfId="0" applyNumberFormat="1" applyFont="1" applyBorder="1" applyAlignment="1">
      <alignment horizontal="right" vertical="center"/>
    </xf>
    <xf numFmtId="180" fontId="5" fillId="0" borderId="0" xfId="0" applyNumberFormat="1" applyFont="1" applyAlignment="1">
      <alignment horizontal="right" vertical="center"/>
    </xf>
    <xf numFmtId="180" fontId="5" fillId="3" borderId="5" xfId="0" applyNumberFormat="1" applyFont="1" applyFill="1" applyBorder="1" applyAlignment="1">
      <alignment vertical="center"/>
    </xf>
    <xf numFmtId="180" fontId="5" fillId="0" borderId="7" xfId="0" applyNumberFormat="1" applyFont="1" applyBorder="1" applyAlignment="1">
      <alignment vertical="center"/>
    </xf>
    <xf numFmtId="180" fontId="5" fillId="3" borderId="7" xfId="0" applyNumberFormat="1" applyFont="1" applyFill="1" applyBorder="1" applyAlignment="1">
      <alignment vertical="center"/>
    </xf>
    <xf numFmtId="180" fontId="5" fillId="0" borderId="5" xfId="4" applyNumberFormat="1" applyFont="1" applyBorder="1" applyAlignment="1">
      <alignment vertical="center"/>
    </xf>
    <xf numFmtId="180" fontId="5" fillId="0" borderId="6" xfId="0" applyNumberFormat="1" applyFont="1" applyBorder="1" applyAlignment="1">
      <alignment vertical="center"/>
    </xf>
    <xf numFmtId="0" fontId="0" fillId="0" borderId="0" xfId="0" applyAlignment="1">
      <alignment horizontal="center"/>
    </xf>
    <xf numFmtId="180" fontId="5" fillId="0" borderId="5" xfId="0" applyNumberFormat="1" applyFont="1" applyBorder="1" applyAlignment="1">
      <alignment horizontal="center" vertical="center"/>
    </xf>
    <xf numFmtId="180" fontId="5" fillId="0" borderId="7" xfId="0" applyNumberFormat="1" applyFont="1" applyBorder="1" applyAlignment="1">
      <alignment horizontal="center" vertical="center"/>
    </xf>
    <xf numFmtId="182" fontId="7" fillId="0" borderId="5" xfId="0" applyNumberFormat="1" applyFont="1" applyBorder="1" applyAlignment="1">
      <alignment horizontal="center" vertical="center"/>
    </xf>
    <xf numFmtId="184" fontId="7" fillId="0" borderId="5" xfId="0" applyNumberFormat="1" applyFont="1" applyBorder="1" applyAlignment="1">
      <alignment vertical="center"/>
    </xf>
    <xf numFmtId="180" fontId="7" fillId="0" borderId="4" xfId="0" applyNumberFormat="1" applyFont="1" applyBorder="1" applyAlignment="1">
      <alignment vertical="center"/>
    </xf>
    <xf numFmtId="180" fontId="7" fillId="0" borderId="11" xfId="0" applyNumberFormat="1" applyFont="1" applyBorder="1" applyAlignment="1">
      <alignment vertical="center"/>
    </xf>
    <xf numFmtId="180" fontId="5" fillId="0" borderId="9" xfId="0" applyNumberFormat="1" applyFont="1" applyBorder="1" applyAlignment="1">
      <alignment vertical="center"/>
    </xf>
    <xf numFmtId="176" fontId="2" fillId="0" borderId="5" xfId="4" applyFont="1" applyBorder="1" applyAlignment="1">
      <alignment vertical="center"/>
    </xf>
    <xf numFmtId="180" fontId="2" fillId="0" borderId="5" xfId="0" applyNumberFormat="1" applyFont="1" applyBorder="1" applyAlignment="1">
      <alignment vertical="center"/>
    </xf>
    <xf numFmtId="180" fontId="7" fillId="0" borderId="5" xfId="1" applyNumberFormat="1" applyFont="1" applyBorder="1" applyAlignment="1">
      <alignment vertical="center"/>
    </xf>
    <xf numFmtId="41" fontId="2" fillId="0" borderId="5" xfId="0" applyNumberFormat="1" applyFont="1" applyBorder="1" applyAlignment="1">
      <alignment vertical="center"/>
    </xf>
    <xf numFmtId="176" fontId="0" fillId="0" borderId="5" xfId="4" applyFont="1" applyBorder="1" applyAlignment="1">
      <alignment vertical="center"/>
    </xf>
    <xf numFmtId="41" fontId="2" fillId="0" borderId="7" xfId="1" applyNumberFormat="1" applyFont="1" applyBorder="1" applyAlignment="1">
      <alignment vertical="center"/>
    </xf>
    <xf numFmtId="180" fontId="7" fillId="0" borderId="11" xfId="0" applyNumberFormat="1" applyFont="1" applyFill="1" applyBorder="1" applyAlignment="1">
      <alignment vertical="center"/>
    </xf>
    <xf numFmtId="179" fontId="5" fillId="0" borderId="4" xfId="0" applyNumberFormat="1" applyFont="1" applyBorder="1" applyAlignment="1">
      <alignment horizontal="center" vertical="center"/>
    </xf>
    <xf numFmtId="0" fontId="5" fillId="0" borderId="9" xfId="0" applyFont="1" applyBorder="1" applyAlignment="1">
      <alignment vertical="center"/>
    </xf>
    <xf numFmtId="179" fontId="5" fillId="0" borderId="9" xfId="0" applyNumberFormat="1" applyFont="1" applyBorder="1" applyAlignment="1">
      <alignment horizontal="center" vertical="center"/>
    </xf>
    <xf numFmtId="185" fontId="0" fillId="0" borderId="12" xfId="0" applyNumberFormat="1" applyBorder="1"/>
    <xf numFmtId="0" fontId="5" fillId="4" borderId="5" xfId="0" applyFont="1" applyFill="1" applyBorder="1" applyAlignment="1">
      <alignment vertical="center"/>
    </xf>
    <xf numFmtId="185" fontId="0" fillId="0" borderId="0" xfId="0" applyNumberFormat="1"/>
    <xf numFmtId="176" fontId="2" fillId="0" borderId="0" xfId="0" applyNumberFormat="1" applyFont="1"/>
    <xf numFmtId="180" fontId="5" fillId="0" borderId="4" xfId="0" applyNumberFormat="1" applyFont="1" applyBorder="1" applyAlignment="1">
      <alignment horizontal="right" vertical="center"/>
    </xf>
    <xf numFmtId="179" fontId="5" fillId="0" borderId="11" xfId="0" applyNumberFormat="1" applyFont="1" applyBorder="1" applyAlignment="1">
      <alignment vertical="center"/>
    </xf>
    <xf numFmtId="180" fontId="5" fillId="0" borderId="4" xfId="4" applyNumberFormat="1" applyFont="1" applyBorder="1" applyAlignment="1">
      <alignment horizontal="right" vertical="center"/>
    </xf>
    <xf numFmtId="180" fontId="5" fillId="3" borderId="1" xfId="0" applyNumberFormat="1" applyFont="1" applyFill="1" applyBorder="1" applyAlignment="1">
      <alignment vertical="center"/>
    </xf>
    <xf numFmtId="181" fontId="0" fillId="0" borderId="11" xfId="0" applyNumberFormat="1" applyBorder="1" applyAlignment="1">
      <alignment vertical="center"/>
    </xf>
    <xf numFmtId="180" fontId="5" fillId="3" borderId="11" xfId="0" applyNumberFormat="1" applyFont="1" applyFill="1" applyBorder="1" applyAlignment="1">
      <alignment vertical="center"/>
    </xf>
    <xf numFmtId="43" fontId="7" fillId="2" borderId="2" xfId="1" applyFont="1" applyFill="1" applyBorder="1" applyAlignment="1">
      <alignment horizontal="right" vertical="center"/>
    </xf>
    <xf numFmtId="180" fontId="0" fillId="0" borderId="0" xfId="1" applyNumberFormat="1" applyFont="1" applyAlignment="1">
      <alignment horizontal="center"/>
    </xf>
    <xf numFmtId="180" fontId="5" fillId="0" borderId="1" xfId="0" applyNumberFormat="1" applyFont="1" applyBorder="1" applyAlignment="1">
      <alignment horizontal="center" vertical="center"/>
    </xf>
    <xf numFmtId="180" fontId="5" fillId="0" borderId="11" xfId="0" applyNumberFormat="1" applyFont="1" applyBorder="1" applyAlignment="1">
      <alignment horizontal="center" vertical="center"/>
    </xf>
    <xf numFmtId="180" fontId="5" fillId="0" borderId="1" xfId="0" applyNumberFormat="1" applyFont="1" applyBorder="1" applyAlignment="1">
      <alignment vertical="center"/>
    </xf>
    <xf numFmtId="0" fontId="7" fillId="0" borderId="5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180" fontId="2" fillId="0" borderId="5" xfId="1" applyNumberFormat="1" applyFont="1" applyBorder="1" applyAlignment="1">
      <alignment vertical="center"/>
    </xf>
    <xf numFmtId="41" fontId="5" fillId="0" borderId="5" xfId="0" applyNumberFormat="1" applyFont="1" applyBorder="1" applyAlignment="1">
      <alignment vertical="center"/>
    </xf>
    <xf numFmtId="184" fontId="0" fillId="0" borderId="5" xfId="0" applyNumberFormat="1" applyBorder="1" applyAlignment="1">
      <alignment vertical="center"/>
    </xf>
    <xf numFmtId="3" fontId="5" fillId="0" borderId="5" xfId="0" applyNumberFormat="1" applyFont="1" applyBorder="1" applyAlignment="1">
      <alignment horizontal="center" vertical="center"/>
    </xf>
    <xf numFmtId="178" fontId="5" fillId="3" borderId="5" xfId="0" applyNumberFormat="1" applyFont="1" applyFill="1" applyBorder="1" applyAlignment="1">
      <alignment vertical="center"/>
    </xf>
    <xf numFmtId="182" fontId="7" fillId="0" borderId="11" xfId="0" applyNumberFormat="1" applyFont="1" applyBorder="1" applyAlignment="1">
      <alignment horizontal="center" vertical="center" wrapText="1"/>
    </xf>
    <xf numFmtId="182" fontId="7" fillId="0" borderId="5" xfId="0" applyNumberFormat="1" applyFont="1" applyBorder="1" applyAlignment="1">
      <alignment horizontal="center" vertical="center" wrapText="1"/>
    </xf>
    <xf numFmtId="186" fontId="0" fillId="0" borderId="0" xfId="1" applyNumberFormat="1" applyFont="1"/>
    <xf numFmtId="186" fontId="0" fillId="0" borderId="0" xfId="0" applyNumberFormat="1"/>
    <xf numFmtId="187" fontId="0" fillId="0" borderId="0" xfId="0" applyNumberFormat="1"/>
    <xf numFmtId="181" fontId="7" fillId="0" borderId="11" xfId="0" applyNumberFormat="1" applyFont="1" applyBorder="1" applyAlignment="1">
      <alignment horizontal="center" vertical="center" wrapText="1"/>
    </xf>
    <xf numFmtId="178" fontId="7" fillId="0" borderId="11" xfId="0" applyNumberFormat="1" applyFont="1" applyBorder="1" applyAlignment="1">
      <alignment horizontal="center" vertical="center" wrapText="1"/>
    </xf>
    <xf numFmtId="178" fontId="5" fillId="0" borderId="11" xfId="0" applyNumberFormat="1" applyFont="1" applyBorder="1" applyAlignment="1">
      <alignment horizontal="right" vertical="center" wrapText="1"/>
    </xf>
    <xf numFmtId="181" fontId="7" fillId="0" borderId="5" xfId="0" applyNumberFormat="1" applyFont="1" applyBorder="1" applyAlignment="1">
      <alignment horizontal="center" vertical="center" wrapText="1"/>
    </xf>
    <xf numFmtId="178" fontId="7" fillId="0" borderId="5" xfId="0" applyNumberFormat="1" applyFont="1" applyBorder="1" applyAlignment="1">
      <alignment horizontal="center" vertical="center" wrapText="1"/>
    </xf>
    <xf numFmtId="178" fontId="5" fillId="0" borderId="7" xfId="0" applyNumberFormat="1" applyFont="1" applyBorder="1" applyAlignment="1">
      <alignment horizontal="right" vertical="center" wrapText="1"/>
    </xf>
    <xf numFmtId="178" fontId="5" fillId="0" borderId="5" xfId="0" applyNumberFormat="1" applyFont="1" applyBorder="1" applyAlignment="1">
      <alignment horizontal="right" vertical="center" wrapText="1"/>
    </xf>
    <xf numFmtId="178" fontId="7" fillId="0" borderId="5" xfId="1" applyNumberFormat="1" applyFont="1" applyBorder="1" applyAlignment="1">
      <alignment vertical="center"/>
    </xf>
    <xf numFmtId="176" fontId="7" fillId="0" borderId="5" xfId="4" applyFont="1" applyBorder="1" applyAlignment="1">
      <alignment vertical="center"/>
    </xf>
    <xf numFmtId="177" fontId="5" fillId="0" borderId="0" xfId="0" applyNumberFormat="1" applyFont="1"/>
    <xf numFmtId="3" fontId="0" fillId="0" borderId="0" xfId="0" applyNumberFormat="1" applyAlignment="1">
      <alignment vertical="center"/>
    </xf>
    <xf numFmtId="180" fontId="0" fillId="0" borderId="0" xfId="1" applyNumberFormat="1" applyFont="1" applyAlignment="1">
      <alignment vertical="center"/>
    </xf>
    <xf numFmtId="178" fontId="5" fillId="0" borderId="5" xfId="4" applyNumberFormat="1" applyFont="1" applyBorder="1" applyAlignment="1">
      <alignment horizontal="right" vertical="center"/>
    </xf>
    <xf numFmtId="182" fontId="5" fillId="0" borderId="4" xfId="0" applyNumberFormat="1" applyFont="1" applyBorder="1" applyAlignment="1">
      <alignment horizontal="center" vertical="center" wrapText="1"/>
    </xf>
    <xf numFmtId="182" fontId="7" fillId="0" borderId="9" xfId="0" applyNumberFormat="1" applyFont="1" applyBorder="1" applyAlignment="1">
      <alignment horizontal="center" vertical="center"/>
    </xf>
    <xf numFmtId="178" fontId="5" fillId="0" borderId="9" xfId="0" applyNumberFormat="1" applyFont="1" applyBorder="1" applyAlignment="1">
      <alignment horizontal="right" vertical="center"/>
    </xf>
    <xf numFmtId="182" fontId="0" fillId="0" borderId="0" xfId="0" applyNumberFormat="1"/>
    <xf numFmtId="181" fontId="8" fillId="0" borderId="4" xfId="0" applyNumberFormat="1" applyFont="1" applyBorder="1" applyAlignment="1">
      <alignment horizontal="center" vertical="center" wrapText="1"/>
    </xf>
    <xf numFmtId="178" fontId="5" fillId="0" borderId="4" xfId="0" applyNumberFormat="1" applyFont="1" applyBorder="1" applyAlignment="1">
      <alignment horizontal="center" vertical="center" wrapText="1"/>
    </xf>
    <xf numFmtId="180" fontId="5" fillId="0" borderId="9" xfId="1" applyNumberFormat="1" applyFont="1" applyBorder="1" applyAlignment="1">
      <alignment vertical="center"/>
    </xf>
    <xf numFmtId="43" fontId="0" fillId="0" borderId="9" xfId="1" applyFont="1" applyBorder="1" applyAlignment="1">
      <alignment vertical="center"/>
    </xf>
    <xf numFmtId="180" fontId="5" fillId="0" borderId="11" xfId="1" applyNumberFormat="1" applyFont="1" applyBorder="1" applyAlignment="1">
      <alignment vertical="center"/>
    </xf>
    <xf numFmtId="180" fontId="5" fillId="0" borderId="11" xfId="1" applyNumberFormat="1" applyFont="1" applyFill="1" applyBorder="1" applyAlignment="1">
      <alignment vertical="center"/>
    </xf>
    <xf numFmtId="188" fontId="0" fillId="0" borderId="0" xfId="0" applyNumberFormat="1"/>
    <xf numFmtId="179" fontId="5" fillId="0" borderId="1" xfId="0" applyNumberFormat="1" applyFont="1" applyBorder="1" applyAlignment="1">
      <alignment vertical="center"/>
    </xf>
    <xf numFmtId="0" fontId="5" fillId="0" borderId="1" xfId="0" applyFont="1" applyBorder="1" applyAlignment="1">
      <alignment vertical="center"/>
    </xf>
    <xf numFmtId="178" fontId="5" fillId="0" borderId="1" xfId="0" applyNumberFormat="1" applyFont="1" applyBorder="1" applyAlignment="1">
      <alignment vertical="center"/>
    </xf>
    <xf numFmtId="178" fontId="5" fillId="0" borderId="7" xfId="0" applyNumberFormat="1" applyFont="1" applyBorder="1" applyAlignment="1">
      <alignment vertical="center"/>
    </xf>
    <xf numFmtId="178" fontId="7" fillId="3" borderId="1" xfId="0" applyNumberFormat="1" applyFont="1" applyFill="1" applyBorder="1" applyAlignment="1">
      <alignment vertical="center"/>
    </xf>
    <xf numFmtId="178" fontId="5" fillId="0" borderId="5" xfId="4" applyNumberFormat="1" applyFont="1" applyBorder="1" applyAlignment="1">
      <alignment vertical="center"/>
    </xf>
    <xf numFmtId="178" fontId="7" fillId="0" borderId="7" xfId="0" applyNumberFormat="1" applyFont="1" applyBorder="1" applyAlignment="1">
      <alignment horizontal="right" vertical="center"/>
    </xf>
    <xf numFmtId="0" fontId="8" fillId="0" borderId="13" xfId="0" applyFont="1" applyBorder="1" applyAlignment="1">
      <alignment horizontal="center" vertical="center"/>
    </xf>
    <xf numFmtId="179" fontId="7" fillId="0" borderId="6" xfId="0" applyNumberFormat="1" applyFont="1" applyBorder="1" applyAlignment="1">
      <alignment horizontal="center" vertical="center"/>
    </xf>
    <xf numFmtId="43" fontId="5" fillId="0" borderId="1" xfId="1" applyFont="1" applyBorder="1" applyAlignment="1">
      <alignment vertical="center"/>
    </xf>
    <xf numFmtId="43" fontId="5" fillId="0" borderId="5" xfId="1" applyFont="1" applyBorder="1" applyAlignment="1">
      <alignment vertical="center"/>
    </xf>
    <xf numFmtId="178" fontId="5" fillId="0" borderId="9" xfId="0" applyNumberFormat="1" applyFont="1" applyBorder="1" applyAlignment="1">
      <alignment vertical="center"/>
    </xf>
    <xf numFmtId="176" fontId="5" fillId="0" borderId="5" xfId="4" applyFont="1" applyBorder="1" applyAlignment="1">
      <alignment vertical="center"/>
    </xf>
    <xf numFmtId="179" fontId="7" fillId="0" borderId="6" xfId="0" applyNumberFormat="1" applyFont="1" applyBorder="1" applyAlignment="1">
      <alignment vertical="center"/>
    </xf>
    <xf numFmtId="178" fontId="5" fillId="0" borderId="11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43" fontId="7" fillId="2" borderId="3" xfId="1" applyFont="1" applyFill="1" applyBorder="1" applyAlignment="1">
      <alignment horizontal="right" vertical="center"/>
    </xf>
    <xf numFmtId="189" fontId="10" fillId="0" borderId="0" xfId="0" applyNumberFormat="1" applyFont="1" applyAlignment="1">
      <alignment horizontal="left" vertical="center"/>
    </xf>
    <xf numFmtId="178" fontId="5" fillId="0" borderId="1" xfId="0" applyNumberFormat="1" applyFont="1" applyBorder="1" applyAlignment="1">
      <alignment horizontal="right" vertical="center"/>
    </xf>
    <xf numFmtId="178" fontId="7" fillId="0" borderId="1" xfId="0" applyNumberFormat="1" applyFont="1" applyBorder="1" applyAlignment="1">
      <alignment horizontal="right" vertical="center"/>
    </xf>
    <xf numFmtId="182" fontId="7" fillId="0" borderId="4" xfId="0" applyNumberFormat="1" applyFont="1" applyBorder="1" applyAlignment="1">
      <alignment vertical="center"/>
    </xf>
    <xf numFmtId="182" fontId="7" fillId="0" borderId="9" xfId="0" applyNumberFormat="1" applyFont="1" applyBorder="1" applyAlignment="1">
      <alignment vertical="center"/>
    </xf>
    <xf numFmtId="58" fontId="8" fillId="0" borderId="0" xfId="0" applyNumberFormat="1" applyFont="1" applyAlignment="1">
      <alignment horizontal="center" vertical="center"/>
    </xf>
    <xf numFmtId="179" fontId="7" fillId="0" borderId="5" xfId="0" applyNumberFormat="1" applyFont="1" applyBorder="1" applyAlignment="1">
      <alignment vertical="center"/>
    </xf>
    <xf numFmtId="178" fontId="7" fillId="0" borderId="7" xfId="0" applyNumberFormat="1" applyFont="1" applyBorder="1" applyAlignment="1">
      <alignment vertical="center"/>
    </xf>
    <xf numFmtId="182" fontId="7" fillId="0" borderId="5" xfId="0" applyNumberFormat="1" applyFont="1" applyBorder="1" applyAlignment="1">
      <alignment vertical="center"/>
    </xf>
    <xf numFmtId="179" fontId="7" fillId="0" borderId="7" xfId="0" applyNumberFormat="1" applyFont="1" applyBorder="1" applyAlignment="1">
      <alignment vertical="center"/>
    </xf>
    <xf numFmtId="178" fontId="7" fillId="0" borderId="4" xfId="0" applyNumberFormat="1" applyFont="1" applyBorder="1" applyAlignment="1">
      <alignment vertical="center"/>
    </xf>
    <xf numFmtId="180" fontId="5" fillId="0" borderId="0" xfId="1" applyNumberFormat="1" applyFont="1" applyAlignment="1">
      <alignment vertical="center"/>
    </xf>
    <xf numFmtId="0" fontId="1" fillId="0" borderId="0" xfId="0" applyFont="1" applyAlignment="1">
      <alignment horizontal="center" vertical="center"/>
    </xf>
    <xf numFmtId="179" fontId="5" fillId="0" borderId="7" xfId="0" applyNumberFormat="1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178" fontId="8" fillId="0" borderId="5" xfId="0" applyNumberFormat="1" applyFont="1" applyBorder="1" applyAlignment="1">
      <alignment vertical="center"/>
    </xf>
    <xf numFmtId="181" fontId="5" fillId="0" borderId="5" xfId="0" applyNumberFormat="1" applyFont="1" applyBorder="1" applyAlignment="1">
      <alignment horizontal="right" vertical="center"/>
    </xf>
    <xf numFmtId="178" fontId="7" fillId="3" borderId="9" xfId="0" applyNumberFormat="1" applyFont="1" applyFill="1" applyBorder="1" applyAlignment="1">
      <alignment vertical="center"/>
    </xf>
    <xf numFmtId="178" fontId="7" fillId="3" borderId="11" xfId="0" applyNumberFormat="1" applyFont="1" applyFill="1" applyBorder="1" applyAlignment="1">
      <alignment vertical="center"/>
    </xf>
    <xf numFmtId="180" fontId="7" fillId="0" borderId="4" xfId="1" applyNumberFormat="1" applyFont="1" applyBorder="1" applyAlignment="1">
      <alignment horizontal="center" vertical="center"/>
    </xf>
    <xf numFmtId="179" fontId="7" fillId="0" borderId="4" xfId="0" applyNumberFormat="1" applyFont="1" applyBorder="1" applyAlignment="1">
      <alignment horizontal="center" vertical="center"/>
    </xf>
    <xf numFmtId="180" fontId="7" fillId="0" borderId="5" xfId="1" applyNumberFormat="1" applyFont="1" applyBorder="1" applyAlignment="1">
      <alignment horizontal="center" vertical="center"/>
    </xf>
    <xf numFmtId="180" fontId="5" fillId="0" borderId="7" xfId="1" applyNumberFormat="1" applyFont="1" applyBorder="1" applyAlignment="1">
      <alignment horizontal="center" vertical="center"/>
    </xf>
    <xf numFmtId="180" fontId="7" fillId="0" borderId="7" xfId="1" applyNumberFormat="1" applyFont="1" applyBorder="1" applyAlignment="1">
      <alignment horizontal="center" vertical="center"/>
    </xf>
    <xf numFmtId="180" fontId="7" fillId="0" borderId="4" xfId="1" applyNumberFormat="1" applyFont="1" applyBorder="1" applyAlignment="1">
      <alignment vertical="center"/>
    </xf>
    <xf numFmtId="180" fontId="7" fillId="0" borderId="1" xfId="1" applyNumberFormat="1" applyFont="1" applyBorder="1" applyAlignment="1">
      <alignment vertical="center"/>
    </xf>
    <xf numFmtId="180" fontId="7" fillId="0" borderId="9" xfId="1" applyNumberFormat="1" applyFont="1" applyBorder="1" applyAlignment="1">
      <alignment vertical="center"/>
    </xf>
    <xf numFmtId="180" fontId="7" fillId="0" borderId="7" xfId="1" applyNumberFormat="1" applyFont="1" applyBorder="1" applyAlignment="1">
      <alignment vertical="center"/>
    </xf>
    <xf numFmtId="0" fontId="5" fillId="0" borderId="5" xfId="0" applyFont="1" applyBorder="1"/>
    <xf numFmtId="184" fontId="5" fillId="0" borderId="8" xfId="1" applyNumberFormat="1" applyFont="1" applyBorder="1"/>
    <xf numFmtId="184" fontId="0" fillId="0" borderId="0" xfId="0" applyNumberFormat="1"/>
    <xf numFmtId="0" fontId="5" fillId="0" borderId="0" xfId="0" applyFont="1"/>
    <xf numFmtId="178" fontId="0" fillId="0" borderId="0" xfId="0" applyNumberFormat="1" applyAlignment="1">
      <alignment horizontal="right" vertical="center"/>
    </xf>
    <xf numFmtId="179" fontId="5" fillId="3" borderId="5" xfId="0" applyNumberFormat="1" applyFont="1" applyFill="1" applyBorder="1" applyAlignment="1">
      <alignment horizontal="center" vertical="center"/>
    </xf>
    <xf numFmtId="179" fontId="5" fillId="3" borderId="5" xfId="0" applyNumberFormat="1" applyFont="1" applyFill="1" applyBorder="1" applyAlignment="1">
      <alignment vertical="center"/>
    </xf>
    <xf numFmtId="0" fontId="5" fillId="3" borderId="5" xfId="0" applyFont="1" applyFill="1" applyBorder="1" applyAlignment="1">
      <alignment vertical="center"/>
    </xf>
    <xf numFmtId="178" fontId="5" fillId="3" borderId="5" xfId="0" applyNumberFormat="1" applyFont="1" applyFill="1" applyBorder="1" applyAlignment="1">
      <alignment horizontal="right" vertical="center"/>
    </xf>
    <xf numFmtId="181" fontId="7" fillId="2" borderId="2" xfId="0" applyNumberFormat="1" applyFont="1" applyFill="1" applyBorder="1" applyAlignment="1">
      <alignment horizontal="right" vertical="center"/>
    </xf>
    <xf numFmtId="178" fontId="7" fillId="0" borderId="5" xfId="0" applyNumberFormat="1" applyFont="1" applyBorder="1"/>
    <xf numFmtId="178" fontId="5" fillId="3" borderId="5" xfId="4" applyNumberFormat="1" applyFont="1" applyFill="1" applyBorder="1" applyAlignment="1">
      <alignment horizontal="right" vertical="center"/>
    </xf>
    <xf numFmtId="178" fontId="5" fillId="0" borderId="5" xfId="0" applyNumberFormat="1" applyFont="1" applyBorder="1" applyAlignment="1">
      <alignment horizontal="center" vertical="center"/>
    </xf>
    <xf numFmtId="181" fontId="5" fillId="0" borderId="7" xfId="0" applyNumberFormat="1" applyFont="1" applyBorder="1" applyAlignment="1">
      <alignment vertical="center"/>
    </xf>
    <xf numFmtId="178" fontId="7" fillId="0" borderId="7" xfId="0" applyNumberFormat="1" applyFont="1" applyBorder="1"/>
    <xf numFmtId="181" fontId="11" fillId="0" borderId="0" xfId="0" applyNumberFormat="1" applyFont="1"/>
    <xf numFmtId="178" fontId="5" fillId="0" borderId="5" xfId="0" applyNumberFormat="1" applyFont="1" applyBorder="1"/>
    <xf numFmtId="178" fontId="7" fillId="3" borderId="5" xfId="0" applyNumberFormat="1" applyFont="1" applyFill="1" applyBorder="1"/>
    <xf numFmtId="182" fontId="7" fillId="0" borderId="5" xfId="0" applyNumberFormat="1" applyFont="1" applyBorder="1"/>
    <xf numFmtId="182" fontId="0" fillId="0" borderId="7" xfId="0" applyNumberFormat="1" applyBorder="1"/>
    <xf numFmtId="182" fontId="7" fillId="0" borderId="7" xfId="0" applyNumberFormat="1" applyFont="1" applyBorder="1" applyAlignment="1">
      <alignment horizontal="center" vertical="center"/>
    </xf>
    <xf numFmtId="178" fontId="5" fillId="0" borderId="10" xfId="0" applyNumberFormat="1" applyFont="1" applyBorder="1"/>
    <xf numFmtId="180" fontId="5" fillId="0" borderId="0" xfId="0" applyNumberFormat="1" applyFont="1"/>
    <xf numFmtId="180" fontId="5" fillId="0" borderId="5" xfId="1" applyNumberFormat="1" applyFont="1" applyBorder="1"/>
    <xf numFmtId="180" fontId="7" fillId="0" borderId="5" xfId="1" applyNumberFormat="1" applyFont="1" applyBorder="1"/>
    <xf numFmtId="180" fontId="5" fillId="0" borderId="7" xfId="1" applyNumberFormat="1" applyFont="1" applyBorder="1"/>
    <xf numFmtId="180" fontId="2" fillId="0" borderId="0" xfId="0" applyNumberFormat="1" applyFont="1"/>
    <xf numFmtId="0" fontId="12" fillId="0" borderId="0" xfId="0" applyFont="1" applyAlignment="1">
      <alignment horizontal="center"/>
    </xf>
    <xf numFmtId="0" fontId="13" fillId="2" borderId="2" xfId="0" applyFont="1" applyFill="1" applyBorder="1" applyAlignment="1">
      <alignment horizontal="center" vertical="center" wrapText="1"/>
    </xf>
    <xf numFmtId="0" fontId="8" fillId="0" borderId="2" xfId="0" applyFont="1" applyBorder="1" applyAlignment="1">
      <alignment horizontal="center" vertical="center"/>
    </xf>
    <xf numFmtId="0" fontId="8" fillId="0" borderId="2" xfId="0" applyFont="1" applyBorder="1" applyAlignment="1">
      <alignment vertical="center"/>
    </xf>
    <xf numFmtId="180" fontId="8" fillId="0" borderId="2" xfId="1" applyNumberFormat="1" applyFont="1" applyBorder="1" applyAlignment="1">
      <alignment vertical="center"/>
    </xf>
    <xf numFmtId="180" fontId="2" fillId="2" borderId="2" xfId="0" applyNumberFormat="1" applyFont="1" applyFill="1" applyBorder="1" applyAlignment="1">
      <alignment horizontal="center" vertical="center"/>
    </xf>
    <xf numFmtId="180" fontId="4" fillId="2" borderId="2" xfId="0" applyNumberFormat="1" applyFont="1" applyFill="1" applyBorder="1" applyAlignment="1">
      <alignment horizontal="center" vertical="center"/>
    </xf>
    <xf numFmtId="180" fontId="4" fillId="2" borderId="2" xfId="0" applyNumberFormat="1" applyFont="1" applyFill="1" applyBorder="1" applyAlignment="1">
      <alignment vertical="center"/>
    </xf>
    <xf numFmtId="178" fontId="7" fillId="0" borderId="1" xfId="0" applyNumberFormat="1" applyFont="1" applyBorder="1"/>
    <xf numFmtId="180" fontId="4" fillId="0" borderId="2" xfId="1" applyNumberFormat="1" applyFont="1" applyBorder="1" applyAlignment="1">
      <alignment vertical="center"/>
    </xf>
    <xf numFmtId="176" fontId="7" fillId="0" borderId="10" xfId="4" applyFont="1" applyFill="1" applyBorder="1" applyAlignment="1">
      <alignment vertical="center"/>
    </xf>
    <xf numFmtId="176" fontId="2" fillId="2" borderId="0" xfId="4" applyFont="1" applyFill="1"/>
    <xf numFmtId="190" fontId="0" fillId="0" borderId="0" xfId="4" applyNumberFormat="1" applyFont="1"/>
    <xf numFmtId="190" fontId="0" fillId="0" borderId="0" xfId="0" applyNumberFormat="1"/>
    <xf numFmtId="180" fontId="2" fillId="3" borderId="16" xfId="0" applyNumberFormat="1" applyFont="1" applyFill="1" applyBorder="1" applyAlignment="1">
      <alignment vertical="center"/>
    </xf>
    <xf numFmtId="176" fontId="14" fillId="2" borderId="0" xfId="4" applyFont="1" applyFill="1"/>
    <xf numFmtId="179" fontId="5" fillId="0" borderId="5" xfId="0" applyNumberFormat="1" applyFont="1" applyBorder="1" applyAlignment="1" quotePrefix="1">
      <alignment vertical="center"/>
    </xf>
    <xf numFmtId="179" fontId="5" fillId="0" borderId="7" xfId="0" applyNumberFormat="1" applyFont="1" applyBorder="1" applyAlignment="1" quotePrefix="1">
      <alignment vertical="center"/>
    </xf>
  </cellXfs>
  <cellStyles count="50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  <cellStyle name="Comma 2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5" Type="http://schemas.openxmlformats.org/officeDocument/2006/relationships/sharedStrings" Target="sharedStrings.xml"/><Relationship Id="rId14" Type="http://schemas.openxmlformats.org/officeDocument/2006/relationships/theme" Target="theme/theme1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K33"/>
  <sheetViews>
    <sheetView workbookViewId="0">
      <pane xSplit="1" ySplit="6" topLeftCell="B7" activePane="bottomRight" state="frozen"/>
      <selection/>
      <selection pane="topRight"/>
      <selection pane="bottomLeft"/>
      <selection pane="bottomRight" activeCell="E13" sqref="$A1:$XFD1048576"/>
    </sheetView>
  </sheetViews>
  <sheetFormatPr defaultColWidth="9" defaultRowHeight="16.8"/>
  <cols>
    <col min="3" max="3" width="16.4296875" customWidth="1"/>
    <col min="4" max="4" width="16.140625" customWidth="1"/>
    <col min="5" max="5" width="15.7109375" customWidth="1"/>
    <col min="6" max="6" width="17.2890625" customWidth="1"/>
    <col min="7" max="7" width="14.4296875" customWidth="1"/>
    <col min="8" max="8" width="21.140625" customWidth="1"/>
    <col min="9" max="9" width="15.2890625" customWidth="1"/>
    <col min="10" max="10" width="18" customWidth="1"/>
  </cols>
  <sheetData>
    <row r="1" ht="23.2" spans="2:8">
      <c r="B1" s="330" t="s">
        <v>0</v>
      </c>
      <c r="C1" s="330"/>
      <c r="D1" s="330"/>
      <c r="E1" s="330"/>
      <c r="F1" s="330"/>
      <c r="G1" s="330"/>
      <c r="H1" s="330"/>
    </row>
    <row r="2" ht="23.2" spans="2:8">
      <c r="B2" s="330" t="s">
        <v>1</v>
      </c>
      <c r="C2" s="330"/>
      <c r="D2" s="330"/>
      <c r="E2" s="330"/>
      <c r="F2" s="330"/>
      <c r="G2" s="330"/>
      <c r="H2" s="330"/>
    </row>
    <row r="3" ht="23.2" spans="2:8">
      <c r="B3" s="330" t="s">
        <v>2</v>
      </c>
      <c r="C3" s="330"/>
      <c r="D3" s="330"/>
      <c r="E3" s="330"/>
      <c r="F3" s="330"/>
      <c r="G3" s="330"/>
      <c r="H3" s="330"/>
    </row>
    <row r="5" ht="20.8" spans="2:8">
      <c r="B5" s="331" t="s">
        <v>3</v>
      </c>
      <c r="C5" s="331" t="s">
        <v>4</v>
      </c>
      <c r="D5" s="7" t="s">
        <v>5</v>
      </c>
      <c r="E5" s="7"/>
      <c r="F5" s="7"/>
      <c r="G5" s="7"/>
      <c r="H5" s="7"/>
    </row>
    <row r="6" ht="17.6" spans="2:8">
      <c r="B6" s="331"/>
      <c r="C6" s="331"/>
      <c r="D6" s="10" t="s">
        <v>6</v>
      </c>
      <c r="E6" s="10" t="s">
        <v>7</v>
      </c>
      <c r="F6" s="28" t="s">
        <v>8</v>
      </c>
      <c r="G6" s="28" t="s">
        <v>9</v>
      </c>
      <c r="H6" s="28" t="s">
        <v>10</v>
      </c>
    </row>
    <row r="7" ht="4.5" customHeight="1" spans="4:8">
      <c r="D7" s="274"/>
      <c r="E7" s="258"/>
      <c r="F7" s="274"/>
      <c r="G7" s="258"/>
      <c r="H7" s="338"/>
    </row>
    <row r="8" s="1" customFormat="1" ht="23.25" customHeight="1" spans="2:8">
      <c r="B8" s="332">
        <v>1</v>
      </c>
      <c r="C8" s="333" t="s">
        <v>11</v>
      </c>
      <c r="D8" s="334">
        <f>'INV JANUARI'!D34</f>
        <v>1106775000</v>
      </c>
      <c r="E8" s="334">
        <f>'INV JANUARI'!E34</f>
        <v>160937500</v>
      </c>
      <c r="F8" s="334">
        <f>'INV JANUARI'!F34</f>
        <v>2716640034</v>
      </c>
      <c r="G8" s="334">
        <f>'INV JANUARI'!G34</f>
        <v>0</v>
      </c>
      <c r="H8" s="339">
        <f>SUM(D8:G8)</f>
        <v>3984352534</v>
      </c>
    </row>
    <row r="9" s="1" customFormat="1" ht="23.25" customHeight="1" spans="2:8">
      <c r="B9" s="332">
        <v>2</v>
      </c>
      <c r="C9" s="333" t="s">
        <v>12</v>
      </c>
      <c r="D9" s="334">
        <f>'INV FEBRUARI'!D32</f>
        <v>243575000</v>
      </c>
      <c r="E9" s="334">
        <f>'INV FEBRUARI'!E32</f>
        <v>204059993</v>
      </c>
      <c r="F9" s="334">
        <f>'INV FEBRUARI'!F32</f>
        <v>441168525</v>
      </c>
      <c r="G9" s="334">
        <f>'INV FEBRUARI'!G32</f>
        <v>272100000</v>
      </c>
      <c r="H9" s="339">
        <f>SUM(D9:G9)</f>
        <v>1160903518</v>
      </c>
    </row>
    <row r="10" s="1" customFormat="1" ht="23.25" customHeight="1" spans="2:8">
      <c r="B10" s="332">
        <v>3</v>
      </c>
      <c r="C10" s="333" t="s">
        <v>13</v>
      </c>
      <c r="D10" s="334">
        <f>'INV MARET'!D26</f>
        <v>283720000</v>
      </c>
      <c r="E10" s="334">
        <f>'INV MARET'!E26</f>
        <v>251056000</v>
      </c>
      <c r="F10" s="334">
        <f>'INV MARET'!F26</f>
        <v>2936455000</v>
      </c>
      <c r="G10" s="334">
        <f>'INV MARET'!G26</f>
        <v>0</v>
      </c>
      <c r="H10" s="339">
        <f>SUM(D10:G10)</f>
        <v>3471231000</v>
      </c>
    </row>
    <row r="11" s="1" customFormat="1" ht="23.25" customHeight="1" spans="2:9">
      <c r="B11" s="332">
        <v>4</v>
      </c>
      <c r="C11" s="333" t="s">
        <v>14</v>
      </c>
      <c r="D11" s="334">
        <f>'INV APRIL'!D54</f>
        <v>1306533000</v>
      </c>
      <c r="E11" s="334">
        <f>'INV APRIL'!E54</f>
        <v>304829500</v>
      </c>
      <c r="F11" s="334">
        <f>'INV APRIL'!F54</f>
        <v>1093257330</v>
      </c>
      <c r="G11" s="334">
        <f>'INV APRIL'!G54</f>
        <v>310300000</v>
      </c>
      <c r="H11" s="339">
        <f t="shared" ref="H11:H19" si="0">SUM(D11:G11)</f>
        <v>3014919830</v>
      </c>
      <c r="I11" s="73"/>
    </row>
    <row r="12" s="1" customFormat="1" ht="23.25" customHeight="1" spans="2:8">
      <c r="B12" s="332">
        <v>5</v>
      </c>
      <c r="C12" s="333" t="s">
        <v>15</v>
      </c>
      <c r="D12" s="334">
        <f>'INV MEI'!D23</f>
        <v>1011453350</v>
      </c>
      <c r="E12" s="334">
        <f>'INV MEI'!E23</f>
        <v>235111850</v>
      </c>
      <c r="F12" s="334">
        <f>'INV MEI'!F23</f>
        <v>323524520</v>
      </c>
      <c r="G12" s="334">
        <f>'INV MEI'!G23</f>
        <v>0</v>
      </c>
      <c r="H12" s="339">
        <f t="shared" si="0"/>
        <v>1570089720</v>
      </c>
    </row>
    <row r="13" s="1" customFormat="1" ht="23.25" customHeight="1" spans="2:8">
      <c r="B13" s="332">
        <v>6</v>
      </c>
      <c r="C13" s="333" t="s">
        <v>16</v>
      </c>
      <c r="D13" s="334">
        <f>'INV JUNI'!D24</f>
        <v>40125000</v>
      </c>
      <c r="E13" s="334">
        <f>'INV JUNI'!E24</f>
        <v>146923500</v>
      </c>
      <c r="F13" s="334">
        <f>'INV JUNI'!F24</f>
        <v>158923300</v>
      </c>
      <c r="G13" s="334">
        <f>'INV JUNI'!G24</f>
        <v>0</v>
      </c>
      <c r="H13" s="339">
        <f t="shared" si="0"/>
        <v>345971800</v>
      </c>
    </row>
    <row r="14" s="1" customFormat="1" ht="23.25" customHeight="1" spans="2:8">
      <c r="B14" s="332">
        <v>7</v>
      </c>
      <c r="C14" s="333" t="s">
        <v>17</v>
      </c>
      <c r="D14" s="334">
        <f>'INV JULI'!D31</f>
        <v>80262000</v>
      </c>
      <c r="E14" s="334">
        <f>'INV JULI'!E31</f>
        <v>461667500</v>
      </c>
      <c r="F14" s="334">
        <f>'INV JULI'!F31</f>
        <v>724983000</v>
      </c>
      <c r="G14" s="334">
        <f>'INV JULI'!G31</f>
        <v>0</v>
      </c>
      <c r="H14" s="339">
        <f t="shared" si="0"/>
        <v>1266912500</v>
      </c>
    </row>
    <row r="15" s="1" customFormat="1" ht="23.25" customHeight="1" spans="2:8">
      <c r="B15" s="332">
        <v>8</v>
      </c>
      <c r="C15" s="333" t="s">
        <v>18</v>
      </c>
      <c r="D15" s="334">
        <f>'INV AGUSTUS'!D34</f>
        <v>449900000</v>
      </c>
      <c r="E15" s="334">
        <f>'INV AGUSTUS'!E34</f>
        <v>386631606</v>
      </c>
      <c r="F15" s="334">
        <f>'INV AGUSTUS'!F34</f>
        <v>1103267500</v>
      </c>
      <c r="G15" s="334">
        <f>'INV AGUSTUS'!G34</f>
        <v>0</v>
      </c>
      <c r="H15" s="339">
        <f t="shared" si="0"/>
        <v>1939799106</v>
      </c>
    </row>
    <row r="16" s="1" customFormat="1" ht="23.25" customHeight="1" spans="2:8">
      <c r="B16" s="332">
        <v>9</v>
      </c>
      <c r="C16" s="333" t="s">
        <v>19</v>
      </c>
      <c r="D16" s="334">
        <f>'INV SEPTEMBER'!D31</f>
        <v>449300000</v>
      </c>
      <c r="E16" s="334">
        <f>'INV SEPTEMBER'!E31</f>
        <v>416661800</v>
      </c>
      <c r="F16" s="334">
        <f>'INV SEPTEMBER'!F31</f>
        <v>190025000</v>
      </c>
      <c r="G16" s="334">
        <f>'INV SEPTEMBER'!G31</f>
        <v>1200000</v>
      </c>
      <c r="H16" s="339">
        <f t="shared" si="0"/>
        <v>1057186800</v>
      </c>
    </row>
    <row r="17" s="1" customFormat="1" ht="23.25" customHeight="1" spans="2:11">
      <c r="B17" s="332">
        <v>10</v>
      </c>
      <c r="C17" s="333" t="s">
        <v>20</v>
      </c>
      <c r="D17" s="334">
        <f>'INV OKTOBER'!D31</f>
        <v>257290000</v>
      </c>
      <c r="E17" s="334">
        <f>'INV OKTOBER'!E31</f>
        <v>253599150</v>
      </c>
      <c r="F17" s="334">
        <f>'INV OKTOBER'!F31</f>
        <v>849685000</v>
      </c>
      <c r="G17" s="334">
        <f>'INV OKTOBER'!G31</f>
        <v>0</v>
      </c>
      <c r="H17" s="339">
        <f t="shared" si="0"/>
        <v>1360574150</v>
      </c>
      <c r="K17" s="1" t="s">
        <v>21</v>
      </c>
    </row>
    <row r="18" s="1" customFormat="1" ht="23.25" customHeight="1" spans="2:8">
      <c r="B18" s="332">
        <v>11</v>
      </c>
      <c r="C18" s="333" t="s">
        <v>22</v>
      </c>
      <c r="D18" s="334">
        <f>'INV NOVEMBER'!D34</f>
        <v>992127000</v>
      </c>
      <c r="E18" s="334">
        <f>'INV NOVEMBER'!E34</f>
        <v>801065400</v>
      </c>
      <c r="F18" s="334">
        <f>'INV NOVEMBER'!F34</f>
        <v>1580805000</v>
      </c>
      <c r="G18" s="334">
        <f>'INV NOVEMBER'!G34</f>
        <v>0</v>
      </c>
      <c r="H18" s="339">
        <f t="shared" si="0"/>
        <v>3373997400</v>
      </c>
    </row>
    <row r="19" s="1" customFormat="1" ht="23.25" customHeight="1" spans="2:11">
      <c r="B19" s="332">
        <v>12</v>
      </c>
      <c r="C19" s="333" t="s">
        <v>23</v>
      </c>
      <c r="D19" s="334">
        <f>'INV DESEMBER'!D55</f>
        <v>385600000</v>
      </c>
      <c r="E19" s="334">
        <f>'INV DESEMBER'!E55</f>
        <v>175061750</v>
      </c>
      <c r="F19" s="334">
        <f>'INV DESEMBER'!F55</f>
        <v>5887625313</v>
      </c>
      <c r="G19" s="334">
        <f>'INV DESEMBER'!G55</f>
        <v>0</v>
      </c>
      <c r="H19" s="339">
        <f t="shared" si="0"/>
        <v>6448287063</v>
      </c>
      <c r="J19" s="243">
        <v>27922575488</v>
      </c>
      <c r="K19" s="1" t="s">
        <v>24</v>
      </c>
    </row>
    <row r="20" ht="23.25" customHeight="1" spans="2:10">
      <c r="B20" s="335"/>
      <c r="C20" s="336" t="s">
        <v>25</v>
      </c>
      <c r="D20" s="337">
        <f>SUM(D8:D19)</f>
        <v>6606660350</v>
      </c>
      <c r="E20" s="337">
        <f t="shared" ref="E20:H20" si="1">SUM(E8:E19)</f>
        <v>3797605549</v>
      </c>
      <c r="F20" s="337">
        <f t="shared" si="1"/>
        <v>18006359522</v>
      </c>
      <c r="G20" s="337">
        <f t="shared" si="1"/>
        <v>583600000</v>
      </c>
      <c r="H20" s="337">
        <f t="shared" si="1"/>
        <v>28994225421</v>
      </c>
      <c r="I20" s="344">
        <f>H20/12</f>
        <v>2416185451.75</v>
      </c>
      <c r="J20" s="74"/>
    </row>
    <row r="21" spans="8:10">
      <c r="H21" s="340"/>
      <c r="J21" s="74">
        <f>H20-J19</f>
        <v>1071649933</v>
      </c>
    </row>
    <row r="22" spans="8:10">
      <c r="H22" s="341">
        <v>22793972902</v>
      </c>
      <c r="I22" s="345" t="s">
        <v>26</v>
      </c>
      <c r="J22" s="343">
        <f>J21/H20*100</f>
        <v>3.69608057273302</v>
      </c>
    </row>
    <row r="23" spans="8:10">
      <c r="H23" s="94"/>
      <c r="J23" s="55"/>
    </row>
    <row r="24" spans="8:9">
      <c r="H24" s="342">
        <f>H20-H22</f>
        <v>6200252519</v>
      </c>
      <c r="I24" s="96"/>
    </row>
    <row r="25" spans="8:8">
      <c r="H25" s="343">
        <f>H24/H22*100</f>
        <v>27.2012805562999</v>
      </c>
    </row>
    <row r="26" spans="8:9">
      <c r="H26" s="94"/>
      <c r="I26" s="94"/>
    </row>
    <row r="27" spans="8:10">
      <c r="H27" s="343"/>
      <c r="I27" s="94"/>
      <c r="J27" s="94"/>
    </row>
    <row r="28" spans="8:10">
      <c r="H28" s="94"/>
      <c r="I28" s="96"/>
      <c r="J28" s="96"/>
    </row>
    <row r="29" spans="8:10">
      <c r="H29" s="94"/>
      <c r="I29" s="96"/>
      <c r="J29" s="74"/>
    </row>
    <row r="30" spans="8:10">
      <c r="H30" s="94"/>
      <c r="I30" s="96"/>
      <c r="J30" s="74"/>
    </row>
    <row r="31" spans="8:8">
      <c r="H31" s="94"/>
    </row>
    <row r="32" spans="8:8">
      <c r="H32" s="94"/>
    </row>
    <row r="33" spans="8:9">
      <c r="H33" s="96"/>
      <c r="I33" s="74"/>
    </row>
  </sheetData>
  <mergeCells count="6">
    <mergeCell ref="B1:H1"/>
    <mergeCell ref="B2:H2"/>
    <mergeCell ref="B3:H3"/>
    <mergeCell ref="D5:H5"/>
    <mergeCell ref="B5:B6"/>
    <mergeCell ref="C5:C6"/>
  </mergeCells>
  <pageMargins left="0.7" right="0.7" top="0.75" bottom="0.75" header="0.3" footer="0.3"/>
  <pageSetup paperSize="9" orientation="landscape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59"/>
  <sheetViews>
    <sheetView workbookViewId="0">
      <pane ySplit="6" topLeftCell="A7" activePane="bottomLeft" state="frozen"/>
      <selection/>
      <selection pane="bottomLeft" activeCell="N24" sqref="$A1:$XFD1048576"/>
    </sheetView>
  </sheetViews>
  <sheetFormatPr defaultColWidth="9" defaultRowHeight="16.8"/>
  <cols>
    <col min="1" max="1" width="14" customWidth="1"/>
    <col min="2" max="2" width="19" customWidth="1"/>
    <col min="3" max="3" width="33.140625" customWidth="1"/>
    <col min="4" max="4" width="15" customWidth="1"/>
    <col min="5" max="5" width="17.859375" customWidth="1"/>
    <col min="6" max="6" width="17.4296875" customWidth="1"/>
    <col min="7" max="7" width="14.4296875" customWidth="1"/>
    <col min="8" max="8" width="16.859375" customWidth="1"/>
    <col min="9" max="9" width="13.859375" customWidth="1"/>
    <col min="10" max="10" width="14.859375" customWidth="1"/>
    <col min="11" max="11" width="4.859375" customWidth="1"/>
    <col min="12" max="12" width="15" customWidth="1"/>
    <col min="13" max="13" width="12.4296875" customWidth="1"/>
    <col min="14" max="14" width="14.7109375" style="306" customWidth="1"/>
    <col min="15" max="15" width="4.7109375" customWidth="1"/>
    <col min="16" max="16" width="13.5703125" customWidth="1"/>
    <col min="17" max="17" width="15.2890625" customWidth="1"/>
    <col min="18" max="18" width="31" customWidth="1"/>
    <col min="19" max="19" width="20.140625" customWidth="1"/>
    <col min="21" max="21" width="10.5703125" customWidth="1"/>
  </cols>
  <sheetData>
    <row r="1" ht="17.6" spans="1:7">
      <c r="A1" s="2" t="s">
        <v>27</v>
      </c>
      <c r="B1" s="2"/>
      <c r="C1" s="1"/>
      <c r="D1" s="3"/>
      <c r="E1" s="25"/>
      <c r="F1" s="26"/>
      <c r="G1" s="27"/>
    </row>
    <row r="2" ht="17.6" spans="1:16">
      <c r="A2" s="285"/>
      <c r="B2" s="285"/>
      <c r="C2" s="1"/>
      <c r="D2" s="3"/>
      <c r="E2" s="25"/>
      <c r="F2" s="1"/>
      <c r="G2" s="27"/>
      <c r="H2" s="57"/>
      <c r="J2" s="57"/>
      <c r="L2" s="94"/>
      <c r="M2" s="57"/>
      <c r="N2" s="325"/>
      <c r="P2" s="74"/>
    </row>
    <row r="3" spans="1:14">
      <c r="A3" s="1"/>
      <c r="B3" s="1"/>
      <c r="C3" s="1"/>
      <c r="D3" s="307"/>
      <c r="E3" s="25"/>
      <c r="F3" s="1"/>
      <c r="G3" s="27"/>
      <c r="L3" s="94"/>
      <c r="M3" s="57"/>
      <c r="N3" s="325"/>
    </row>
    <row r="4" spans="1:7">
      <c r="A4" s="4" t="s">
        <v>28</v>
      </c>
      <c r="B4" s="1"/>
      <c r="C4" s="1"/>
      <c r="D4" s="3"/>
      <c r="E4" s="25"/>
      <c r="F4" s="1"/>
      <c r="G4" s="27"/>
    </row>
    <row r="5" ht="22.5" customHeight="1" spans="1:16">
      <c r="A5" s="5" t="s">
        <v>29</v>
      </c>
      <c r="B5" s="6" t="s">
        <v>30</v>
      </c>
      <c r="C5" s="5" t="s">
        <v>31</v>
      </c>
      <c r="D5" s="7" t="s">
        <v>5</v>
      </c>
      <c r="E5" s="7"/>
      <c r="F5" s="7"/>
      <c r="G5" s="7"/>
      <c r="H5" s="7"/>
      <c r="I5" s="7"/>
      <c r="J5" s="7"/>
      <c r="L5" s="41" t="s">
        <v>32</v>
      </c>
      <c r="M5" s="41" t="s">
        <v>33</v>
      </c>
      <c r="N5" s="41" t="s">
        <v>34</v>
      </c>
      <c r="P5" s="41" t="s">
        <v>35</v>
      </c>
    </row>
    <row r="6" ht="17.6" spans="1:16">
      <c r="A6" s="8"/>
      <c r="B6" s="9"/>
      <c r="C6" s="8"/>
      <c r="D6" s="10" t="s">
        <v>6</v>
      </c>
      <c r="E6" s="10" t="s">
        <v>7</v>
      </c>
      <c r="F6" s="28" t="s">
        <v>8</v>
      </c>
      <c r="G6" s="28" t="s">
        <v>9</v>
      </c>
      <c r="H6" s="28" t="s">
        <v>10</v>
      </c>
      <c r="I6" s="42" t="s">
        <v>28</v>
      </c>
      <c r="J6" s="42" t="s">
        <v>36</v>
      </c>
      <c r="L6" s="58"/>
      <c r="M6" s="58"/>
      <c r="N6" s="58"/>
      <c r="P6" s="41"/>
    </row>
    <row r="7" spans="1:16">
      <c r="A7" s="152">
        <v>45660</v>
      </c>
      <c r="B7" s="14" t="s">
        <v>37</v>
      </c>
      <c r="C7" s="15" t="s">
        <v>38</v>
      </c>
      <c r="D7" s="16"/>
      <c r="E7" s="31">
        <v>1975000</v>
      </c>
      <c r="F7" s="16"/>
      <c r="G7" s="31"/>
      <c r="H7" s="313">
        <f>SUM(D7:G7)</f>
        <v>1975000</v>
      </c>
      <c r="I7" s="319">
        <f t="shared" ref="I7" si="0">H7*0.11</f>
        <v>217250</v>
      </c>
      <c r="J7" s="313">
        <f t="shared" ref="J7:J33" si="1">H7+I7</f>
        <v>2192250</v>
      </c>
      <c r="L7" s="51">
        <v>45670</v>
      </c>
      <c r="M7" s="326"/>
      <c r="N7" s="327">
        <f t="shared" ref="N7:N22" si="2">J7-M7</f>
        <v>2192250</v>
      </c>
      <c r="P7" s="326">
        <f>J7-M7-N7</f>
        <v>0</v>
      </c>
    </row>
    <row r="8" spans="1:17">
      <c r="A8" s="152">
        <v>45663</v>
      </c>
      <c r="B8" s="14" t="s">
        <v>39</v>
      </c>
      <c r="C8" s="15" t="s">
        <v>40</v>
      </c>
      <c r="D8" s="16">
        <v>55000000</v>
      </c>
      <c r="E8" s="31"/>
      <c r="F8" s="16"/>
      <c r="G8" s="31"/>
      <c r="H8" s="313">
        <f t="shared" ref="H8:H32" si="3">SUM(D8:G8)</f>
        <v>55000000</v>
      </c>
      <c r="I8" s="319">
        <f t="shared" ref="I8:I33" si="4">H8*0.11</f>
        <v>6050000</v>
      </c>
      <c r="J8" s="313">
        <f t="shared" si="1"/>
        <v>61050000</v>
      </c>
      <c r="L8" s="190">
        <v>45698</v>
      </c>
      <c r="M8" s="326">
        <v>1008333</v>
      </c>
      <c r="N8" s="327">
        <f t="shared" si="2"/>
        <v>60041667</v>
      </c>
      <c r="P8" s="326">
        <f t="shared" ref="P8:P33" si="5">J8-M8-N8</f>
        <v>0</v>
      </c>
      <c r="Q8" s="74">
        <v>60041667</v>
      </c>
    </row>
    <row r="9" spans="1:17">
      <c r="A9" s="308">
        <v>45666</v>
      </c>
      <c r="B9" s="309" t="s">
        <v>41</v>
      </c>
      <c r="C9" s="310" t="s">
        <v>42</v>
      </c>
      <c r="D9" s="311"/>
      <c r="E9" s="226"/>
      <c r="F9" s="314">
        <v>1275000</v>
      </c>
      <c r="G9" s="226"/>
      <c r="H9" s="313">
        <f t="shared" si="3"/>
        <v>1275000</v>
      </c>
      <c r="I9" s="319">
        <f t="shared" si="4"/>
        <v>140250</v>
      </c>
      <c r="J9" s="320">
        <f t="shared" si="1"/>
        <v>1415250</v>
      </c>
      <c r="L9" s="190">
        <v>45705</v>
      </c>
      <c r="M9" s="327"/>
      <c r="N9" s="327">
        <f t="shared" si="2"/>
        <v>1415250</v>
      </c>
      <c r="P9" s="326">
        <f t="shared" si="5"/>
        <v>0</v>
      </c>
      <c r="Q9" s="39">
        <f>J8-Q8</f>
        <v>1008333</v>
      </c>
    </row>
    <row r="10" spans="1:17">
      <c r="A10" s="152">
        <v>45666</v>
      </c>
      <c r="B10" s="14" t="s">
        <v>43</v>
      </c>
      <c r="C10" s="15" t="s">
        <v>42</v>
      </c>
      <c r="D10" s="16">
        <v>52900000</v>
      </c>
      <c r="E10" s="31"/>
      <c r="F10" s="16"/>
      <c r="G10" s="31"/>
      <c r="H10" s="313">
        <f t="shared" si="3"/>
        <v>52900000</v>
      </c>
      <c r="I10" s="319">
        <f t="shared" si="4"/>
        <v>5819000</v>
      </c>
      <c r="J10" s="313">
        <f t="shared" si="1"/>
        <v>58719000</v>
      </c>
      <c r="L10" s="321">
        <v>45705</v>
      </c>
      <c r="M10" s="326">
        <f t="shared" ref="M10:M17" si="6">D10*0.02</f>
        <v>1058000</v>
      </c>
      <c r="N10" s="327">
        <f t="shared" si="2"/>
        <v>57661000</v>
      </c>
      <c r="P10" s="326">
        <f t="shared" si="5"/>
        <v>0</v>
      </c>
      <c r="Q10" s="74"/>
    </row>
    <row r="11" spans="1:17">
      <c r="A11" s="152">
        <v>45666</v>
      </c>
      <c r="B11" s="14" t="s">
        <v>44</v>
      </c>
      <c r="C11" s="15" t="s">
        <v>42</v>
      </c>
      <c r="D11" s="18">
        <v>224400000</v>
      </c>
      <c r="E11" s="31"/>
      <c r="F11" s="16"/>
      <c r="G11" s="31"/>
      <c r="H11" s="313">
        <f t="shared" si="3"/>
        <v>224400000</v>
      </c>
      <c r="I11" s="319">
        <f t="shared" si="4"/>
        <v>24684000</v>
      </c>
      <c r="J11" s="313">
        <f t="shared" si="1"/>
        <v>249084000</v>
      </c>
      <c r="L11" s="190">
        <v>45705</v>
      </c>
      <c r="M11" s="327">
        <f t="shared" si="6"/>
        <v>4488000</v>
      </c>
      <c r="N11" s="327">
        <f t="shared" si="2"/>
        <v>244596000</v>
      </c>
      <c r="P11" s="326">
        <f t="shared" si="5"/>
        <v>0</v>
      </c>
      <c r="Q11" s="74">
        <f>SUM(P9:P17)</f>
        <v>0</v>
      </c>
    </row>
    <row r="12" spans="1:17">
      <c r="A12" s="152">
        <v>45666</v>
      </c>
      <c r="B12" s="14" t="s">
        <v>45</v>
      </c>
      <c r="C12" s="15" t="s">
        <v>42</v>
      </c>
      <c r="D12" s="18">
        <v>149000000</v>
      </c>
      <c r="E12" s="31"/>
      <c r="F12" s="16"/>
      <c r="G12" s="31"/>
      <c r="H12" s="313">
        <f t="shared" si="3"/>
        <v>149000000</v>
      </c>
      <c r="I12" s="319">
        <f t="shared" si="4"/>
        <v>16390000</v>
      </c>
      <c r="J12" s="313">
        <f t="shared" si="1"/>
        <v>165390000</v>
      </c>
      <c r="L12" s="51">
        <v>45705</v>
      </c>
      <c r="M12" s="326">
        <f t="shared" si="6"/>
        <v>2980000</v>
      </c>
      <c r="N12" s="327">
        <f t="shared" si="2"/>
        <v>162410000</v>
      </c>
      <c r="P12" s="326">
        <f t="shared" si="5"/>
        <v>0</v>
      </c>
      <c r="Q12" s="329">
        <f>P19</f>
        <v>0</v>
      </c>
    </row>
    <row r="13" spans="1:18">
      <c r="A13" s="152">
        <v>45666</v>
      </c>
      <c r="B13" s="14" t="s">
        <v>46</v>
      </c>
      <c r="C13" s="15" t="s">
        <v>42</v>
      </c>
      <c r="D13" s="18">
        <v>94700000</v>
      </c>
      <c r="E13" s="31"/>
      <c r="F13" s="16"/>
      <c r="G13" s="31"/>
      <c r="H13" s="313">
        <f t="shared" si="3"/>
        <v>94700000</v>
      </c>
      <c r="I13" s="319">
        <f t="shared" si="4"/>
        <v>10417000</v>
      </c>
      <c r="J13" s="313">
        <f t="shared" si="1"/>
        <v>105117000</v>
      </c>
      <c r="L13" s="190">
        <v>45705</v>
      </c>
      <c r="M13" s="326">
        <f t="shared" si="6"/>
        <v>1894000</v>
      </c>
      <c r="N13" s="327">
        <f t="shared" si="2"/>
        <v>103223000</v>
      </c>
      <c r="P13" s="326">
        <f t="shared" si="5"/>
        <v>0</v>
      </c>
      <c r="Q13" s="74">
        <f>SUM(Q11:Q12)</f>
        <v>0</v>
      </c>
      <c r="R13" s="57"/>
    </row>
    <row r="14" spans="1:17">
      <c r="A14" s="152">
        <v>45666</v>
      </c>
      <c r="B14" s="14" t="s">
        <v>47</v>
      </c>
      <c r="C14" s="15" t="s">
        <v>42</v>
      </c>
      <c r="D14" s="18">
        <v>205400000</v>
      </c>
      <c r="E14" s="31"/>
      <c r="F14" s="16"/>
      <c r="G14" s="31"/>
      <c r="H14" s="313">
        <f t="shared" si="3"/>
        <v>205400000</v>
      </c>
      <c r="I14" s="319">
        <f t="shared" si="4"/>
        <v>22594000</v>
      </c>
      <c r="J14" s="313">
        <f t="shared" si="1"/>
        <v>227994000</v>
      </c>
      <c r="L14" s="321">
        <v>45705</v>
      </c>
      <c r="M14" s="326">
        <f t="shared" si="6"/>
        <v>4108000</v>
      </c>
      <c r="N14" s="327">
        <f t="shared" si="2"/>
        <v>223886000</v>
      </c>
      <c r="P14" s="326">
        <f t="shared" si="5"/>
        <v>0</v>
      </c>
      <c r="Q14" s="74">
        <v>1112410084</v>
      </c>
    </row>
    <row r="15" spans="1:17">
      <c r="A15" s="152">
        <v>45666</v>
      </c>
      <c r="B15" s="14" t="s">
        <v>48</v>
      </c>
      <c r="C15" s="15" t="s">
        <v>42</v>
      </c>
      <c r="D15" s="18">
        <v>66975000</v>
      </c>
      <c r="E15" s="31"/>
      <c r="F15" s="16"/>
      <c r="G15" s="31"/>
      <c r="H15" s="313">
        <f t="shared" si="3"/>
        <v>66975000</v>
      </c>
      <c r="I15" s="319">
        <f t="shared" si="4"/>
        <v>7367250</v>
      </c>
      <c r="J15" s="313">
        <f t="shared" si="1"/>
        <v>74342250</v>
      </c>
      <c r="L15" s="190">
        <v>45705</v>
      </c>
      <c r="M15" s="326">
        <f t="shared" si="6"/>
        <v>1339500</v>
      </c>
      <c r="N15" s="327">
        <f t="shared" si="2"/>
        <v>73002750</v>
      </c>
      <c r="P15" s="326">
        <f t="shared" si="5"/>
        <v>0</v>
      </c>
      <c r="Q15" s="74">
        <f>Q13-Q14</f>
        <v>-1112410084</v>
      </c>
    </row>
    <row r="16" spans="1:21">
      <c r="A16" s="152">
        <v>45666</v>
      </c>
      <c r="B16" s="14" t="s">
        <v>49</v>
      </c>
      <c r="C16" s="15" t="s">
        <v>42</v>
      </c>
      <c r="D16" s="18">
        <v>155000000</v>
      </c>
      <c r="E16" s="31"/>
      <c r="F16" s="16"/>
      <c r="G16" s="31"/>
      <c r="H16" s="313">
        <f t="shared" si="3"/>
        <v>155000000</v>
      </c>
      <c r="I16" s="319">
        <f t="shared" si="4"/>
        <v>17050000</v>
      </c>
      <c r="J16" s="313">
        <f t="shared" si="1"/>
        <v>172050000</v>
      </c>
      <c r="L16" s="190">
        <v>45705</v>
      </c>
      <c r="M16" s="327">
        <f t="shared" si="6"/>
        <v>3100000</v>
      </c>
      <c r="N16" s="327">
        <f t="shared" si="2"/>
        <v>168950000</v>
      </c>
      <c r="P16" s="326">
        <f t="shared" si="5"/>
        <v>0</v>
      </c>
      <c r="R16" s="15"/>
      <c r="S16" s="306"/>
      <c r="T16" s="167"/>
      <c r="U16" s="74">
        <f>M16</f>
        <v>3100000</v>
      </c>
    </row>
    <row r="17" spans="1:16">
      <c r="A17" s="152">
        <v>45666</v>
      </c>
      <c r="B17" s="14" t="s">
        <v>50</v>
      </c>
      <c r="C17" s="15" t="s">
        <v>42</v>
      </c>
      <c r="D17" s="18">
        <v>66900000</v>
      </c>
      <c r="E17" s="31"/>
      <c r="F17" s="16"/>
      <c r="G17" s="31"/>
      <c r="H17" s="313">
        <f t="shared" si="3"/>
        <v>66900000</v>
      </c>
      <c r="I17" s="319">
        <f t="shared" si="4"/>
        <v>7359000</v>
      </c>
      <c r="J17" s="313">
        <f t="shared" si="1"/>
        <v>74259000</v>
      </c>
      <c r="L17" s="190">
        <v>45705</v>
      </c>
      <c r="M17" s="326">
        <f t="shared" si="6"/>
        <v>1338000</v>
      </c>
      <c r="N17" s="327">
        <f t="shared" si="2"/>
        <v>72921000</v>
      </c>
      <c r="P17" s="326">
        <f t="shared" si="5"/>
        <v>0</v>
      </c>
    </row>
    <row r="18" spans="1:16">
      <c r="A18" s="152">
        <v>45666</v>
      </c>
      <c r="B18" s="14" t="s">
        <v>51</v>
      </c>
      <c r="C18" s="15" t="s">
        <v>52</v>
      </c>
      <c r="D18" s="18"/>
      <c r="E18" s="31"/>
      <c r="F18" s="16">
        <v>35625000</v>
      </c>
      <c r="G18" s="31"/>
      <c r="H18" s="313">
        <f t="shared" si="3"/>
        <v>35625000</v>
      </c>
      <c r="I18" s="319">
        <f t="shared" si="4"/>
        <v>3918750</v>
      </c>
      <c r="J18" s="313">
        <f t="shared" si="1"/>
        <v>39543750</v>
      </c>
      <c r="L18" s="190">
        <v>45702</v>
      </c>
      <c r="M18" s="326"/>
      <c r="N18" s="327">
        <f t="shared" si="2"/>
        <v>39543750</v>
      </c>
      <c r="P18" s="326">
        <f t="shared" si="5"/>
        <v>0</v>
      </c>
    </row>
    <row r="19" spans="1:16">
      <c r="A19" s="152">
        <v>45673</v>
      </c>
      <c r="B19" s="14" t="s">
        <v>53</v>
      </c>
      <c r="C19" s="15" t="s">
        <v>42</v>
      </c>
      <c r="D19" s="16"/>
      <c r="E19" s="31"/>
      <c r="F19" s="16">
        <v>3200000</v>
      </c>
      <c r="G19" s="31"/>
      <c r="H19" s="313">
        <f t="shared" si="3"/>
        <v>3200000</v>
      </c>
      <c r="I19" s="319">
        <f t="shared" si="4"/>
        <v>352000</v>
      </c>
      <c r="J19" s="313">
        <f t="shared" si="1"/>
        <v>3552000</v>
      </c>
      <c r="L19" s="190">
        <v>45705</v>
      </c>
      <c r="M19" s="326"/>
      <c r="N19" s="327">
        <f t="shared" si="2"/>
        <v>3552000</v>
      </c>
      <c r="P19" s="326">
        <f t="shared" si="5"/>
        <v>0</v>
      </c>
    </row>
    <row r="20" spans="1:16">
      <c r="A20" s="152">
        <v>45673</v>
      </c>
      <c r="B20" s="14" t="s">
        <v>54</v>
      </c>
      <c r="C20" s="15" t="s">
        <v>55</v>
      </c>
      <c r="D20" s="16"/>
      <c r="E20" s="31"/>
      <c r="F20" s="16">
        <v>2500000</v>
      </c>
      <c r="G20" s="31"/>
      <c r="H20" s="313">
        <f t="shared" si="3"/>
        <v>2500000</v>
      </c>
      <c r="I20" s="319">
        <f t="shared" si="4"/>
        <v>275000</v>
      </c>
      <c r="J20" s="313">
        <f t="shared" si="1"/>
        <v>2775000</v>
      </c>
      <c r="L20" s="51">
        <v>45687</v>
      </c>
      <c r="M20" s="326"/>
      <c r="N20" s="327">
        <f t="shared" si="2"/>
        <v>2775000</v>
      </c>
      <c r="P20" s="326">
        <f t="shared" si="5"/>
        <v>0</v>
      </c>
    </row>
    <row r="21" spans="1:16">
      <c r="A21" s="152">
        <v>45673</v>
      </c>
      <c r="B21" s="14" t="s">
        <v>56</v>
      </c>
      <c r="C21" s="15" t="s">
        <v>57</v>
      </c>
      <c r="D21" s="16">
        <v>36500000</v>
      </c>
      <c r="E21" s="31"/>
      <c r="F21" s="16"/>
      <c r="G21" s="31"/>
      <c r="H21" s="313">
        <f t="shared" si="3"/>
        <v>36500000</v>
      </c>
      <c r="I21" s="319">
        <f t="shared" si="4"/>
        <v>4015000</v>
      </c>
      <c r="J21" s="313">
        <f t="shared" si="1"/>
        <v>40515000</v>
      </c>
      <c r="L21" s="190">
        <v>45713</v>
      </c>
      <c r="M21" s="326">
        <f>(D21*0.02)+2000</f>
        <v>732000</v>
      </c>
      <c r="N21" s="327">
        <f t="shared" si="2"/>
        <v>39783000</v>
      </c>
      <c r="P21" s="326">
        <f t="shared" si="5"/>
        <v>0</v>
      </c>
    </row>
    <row r="22" spans="1:17">
      <c r="A22" s="152">
        <v>45677</v>
      </c>
      <c r="B22" s="14" t="s">
        <v>58</v>
      </c>
      <c r="C22" s="15" t="s">
        <v>59</v>
      </c>
      <c r="D22" s="16"/>
      <c r="E22" s="315"/>
      <c r="F22" s="16">
        <v>6350000</v>
      </c>
      <c r="G22" s="31"/>
      <c r="H22" s="313">
        <f t="shared" si="3"/>
        <v>6350000</v>
      </c>
      <c r="I22" s="319">
        <f t="shared" si="4"/>
        <v>698500</v>
      </c>
      <c r="J22" s="313">
        <f t="shared" si="1"/>
        <v>7048500</v>
      </c>
      <c r="L22" s="322">
        <v>45708</v>
      </c>
      <c r="M22" s="328"/>
      <c r="N22" s="327">
        <f t="shared" si="2"/>
        <v>7048500</v>
      </c>
      <c r="P22" s="326">
        <f t="shared" si="5"/>
        <v>0</v>
      </c>
      <c r="Q22" s="74"/>
    </row>
    <row r="23" spans="1:16">
      <c r="A23" s="152">
        <v>45680</v>
      </c>
      <c r="B23" s="14" t="s">
        <v>60</v>
      </c>
      <c r="C23" s="15" t="s">
        <v>61</v>
      </c>
      <c r="D23" s="16"/>
      <c r="E23" s="315"/>
      <c r="F23" s="16">
        <v>833162750</v>
      </c>
      <c r="G23" s="31"/>
      <c r="H23" s="313">
        <f t="shared" si="3"/>
        <v>833162750</v>
      </c>
      <c r="I23" s="319">
        <f t="shared" si="4"/>
        <v>91647902.5</v>
      </c>
      <c r="J23" s="313">
        <f t="shared" si="1"/>
        <v>924810652.5</v>
      </c>
      <c r="L23" s="190">
        <v>45866</v>
      </c>
      <c r="M23" s="327"/>
      <c r="N23" s="327">
        <f>(200000000+150000000+300000000)+49808153+60000000+30000000</f>
        <v>789808153</v>
      </c>
      <c r="P23" s="326">
        <f t="shared" si="5"/>
        <v>135002499.5</v>
      </c>
    </row>
    <row r="24" spans="1:16">
      <c r="A24" s="152">
        <v>45677</v>
      </c>
      <c r="B24" s="14" t="s">
        <v>62</v>
      </c>
      <c r="C24" s="15" t="s">
        <v>63</v>
      </c>
      <c r="D24" s="16"/>
      <c r="E24" s="315">
        <v>3990000</v>
      </c>
      <c r="F24" s="16">
        <v>3291750</v>
      </c>
      <c r="G24" s="31"/>
      <c r="H24" s="313">
        <f t="shared" si="3"/>
        <v>7281750</v>
      </c>
      <c r="I24" s="319">
        <f t="shared" si="4"/>
        <v>800992.5</v>
      </c>
      <c r="J24" s="313">
        <f t="shared" si="1"/>
        <v>8082742.5</v>
      </c>
      <c r="L24" s="190">
        <v>45714</v>
      </c>
      <c r="M24" s="327"/>
      <c r="N24" s="327">
        <f t="shared" ref="N24:N31" si="7">J24-M24</f>
        <v>8082742.5</v>
      </c>
      <c r="P24" s="326">
        <f t="shared" si="5"/>
        <v>0</v>
      </c>
    </row>
    <row r="25" spans="1:16">
      <c r="A25" s="152">
        <v>45679</v>
      </c>
      <c r="B25" s="14" t="s">
        <v>64</v>
      </c>
      <c r="C25" s="15" t="s">
        <v>65</v>
      </c>
      <c r="D25" s="16"/>
      <c r="E25" s="315"/>
      <c r="F25" s="16">
        <v>9600000</v>
      </c>
      <c r="G25" s="31"/>
      <c r="H25" s="313">
        <f t="shared" si="3"/>
        <v>9600000</v>
      </c>
      <c r="I25" s="319">
        <f t="shared" si="4"/>
        <v>1056000</v>
      </c>
      <c r="J25" s="313">
        <f t="shared" ref="J25:J30" si="8">H25+I25</f>
        <v>10656000</v>
      </c>
      <c r="L25" s="190">
        <v>45777</v>
      </c>
      <c r="M25" s="327"/>
      <c r="N25" s="327">
        <f t="shared" si="7"/>
        <v>10656000</v>
      </c>
      <c r="P25" s="326">
        <f t="shared" si="5"/>
        <v>0</v>
      </c>
    </row>
    <row r="26" spans="1:16">
      <c r="A26" s="152">
        <v>45679</v>
      </c>
      <c r="B26" s="14" t="s">
        <v>66</v>
      </c>
      <c r="C26" s="15" t="s">
        <v>67</v>
      </c>
      <c r="D26" s="16"/>
      <c r="E26" s="315">
        <v>44362500</v>
      </c>
      <c r="F26" s="16"/>
      <c r="G26" s="31"/>
      <c r="H26" s="313">
        <f t="shared" si="3"/>
        <v>44362500</v>
      </c>
      <c r="I26" s="319">
        <f t="shared" si="4"/>
        <v>4879875</v>
      </c>
      <c r="J26" s="313">
        <f t="shared" si="8"/>
        <v>49242375</v>
      </c>
      <c r="L26" s="190">
        <v>45693</v>
      </c>
      <c r="M26" s="327"/>
      <c r="N26" s="327">
        <f t="shared" si="7"/>
        <v>49242375</v>
      </c>
      <c r="P26" s="326">
        <f t="shared" si="5"/>
        <v>0</v>
      </c>
    </row>
    <row r="27" spans="1:16">
      <c r="A27" s="152">
        <v>45680</v>
      </c>
      <c r="B27" s="14" t="s">
        <v>68</v>
      </c>
      <c r="C27" s="15" t="s">
        <v>63</v>
      </c>
      <c r="D27" s="16"/>
      <c r="E27" s="315"/>
      <c r="F27" s="16">
        <v>1796854784</v>
      </c>
      <c r="G27" s="31"/>
      <c r="H27" s="313">
        <f t="shared" si="3"/>
        <v>1796854784</v>
      </c>
      <c r="I27" s="319">
        <f t="shared" si="4"/>
        <v>197654026.24</v>
      </c>
      <c r="J27" s="313">
        <f t="shared" si="8"/>
        <v>1994508810.24</v>
      </c>
      <c r="L27" s="190">
        <v>45764</v>
      </c>
      <c r="M27" s="327"/>
      <c r="N27" s="327">
        <f t="shared" si="7"/>
        <v>1994508810.24</v>
      </c>
      <c r="P27" s="326">
        <f t="shared" si="5"/>
        <v>0</v>
      </c>
    </row>
    <row r="28" spans="1:16">
      <c r="A28" s="152">
        <v>45680</v>
      </c>
      <c r="B28" s="14" t="s">
        <v>69</v>
      </c>
      <c r="C28" s="15" t="s">
        <v>63</v>
      </c>
      <c r="D28" s="16"/>
      <c r="E28" s="315">
        <v>9310000</v>
      </c>
      <c r="F28" s="16">
        <v>7680750</v>
      </c>
      <c r="G28" s="31"/>
      <c r="H28" s="313">
        <f t="shared" si="3"/>
        <v>16990750</v>
      </c>
      <c r="I28" s="319">
        <f t="shared" si="4"/>
        <v>1868982.5</v>
      </c>
      <c r="J28" s="313">
        <f t="shared" si="8"/>
        <v>18859732.5</v>
      </c>
      <c r="L28" s="190">
        <v>45714</v>
      </c>
      <c r="M28" s="327"/>
      <c r="N28" s="327">
        <f t="shared" si="7"/>
        <v>18859732.5</v>
      </c>
      <c r="P28" s="326">
        <f t="shared" si="5"/>
        <v>0</v>
      </c>
    </row>
    <row r="29" spans="1:16">
      <c r="A29" s="152">
        <v>45685</v>
      </c>
      <c r="B29" s="14" t="s">
        <v>70</v>
      </c>
      <c r="C29" s="15" t="s">
        <v>38</v>
      </c>
      <c r="D29" s="16"/>
      <c r="E29" s="315">
        <v>1300000</v>
      </c>
      <c r="F29" s="16"/>
      <c r="G29" s="31"/>
      <c r="H29" s="313">
        <f t="shared" si="3"/>
        <v>1300000</v>
      </c>
      <c r="I29" s="319">
        <f t="shared" si="4"/>
        <v>143000</v>
      </c>
      <c r="J29" s="313">
        <f t="shared" si="8"/>
        <v>1443000</v>
      </c>
      <c r="L29" s="190">
        <v>45695</v>
      </c>
      <c r="M29" s="327"/>
      <c r="N29" s="327">
        <f t="shared" si="7"/>
        <v>1443000</v>
      </c>
      <c r="P29" s="326">
        <f t="shared" si="5"/>
        <v>0</v>
      </c>
    </row>
    <row r="30" spans="1:16">
      <c r="A30" s="152">
        <v>45687</v>
      </c>
      <c r="B30" s="14" t="s">
        <v>71</v>
      </c>
      <c r="C30" s="15" t="s">
        <v>57</v>
      </c>
      <c r="D30" s="16"/>
      <c r="E30" s="315">
        <v>100000000</v>
      </c>
      <c r="F30" s="16"/>
      <c r="G30" s="31"/>
      <c r="H30" s="313">
        <f t="shared" si="3"/>
        <v>100000000</v>
      </c>
      <c r="I30" s="319">
        <f t="shared" si="4"/>
        <v>11000000</v>
      </c>
      <c r="J30" s="313">
        <f t="shared" si="8"/>
        <v>111000000</v>
      </c>
      <c r="L30" s="190">
        <v>45723</v>
      </c>
      <c r="M30" s="327"/>
      <c r="N30" s="327">
        <f t="shared" si="7"/>
        <v>111000000</v>
      </c>
      <c r="P30" s="326">
        <f t="shared" si="5"/>
        <v>0</v>
      </c>
    </row>
    <row r="31" spans="1:16">
      <c r="A31" s="152">
        <v>45685</v>
      </c>
      <c r="B31" s="14" t="s">
        <v>72</v>
      </c>
      <c r="C31" s="15" t="s">
        <v>73</v>
      </c>
      <c r="D31" s="16"/>
      <c r="E31" s="315"/>
      <c r="F31" s="16">
        <v>17100000</v>
      </c>
      <c r="G31" s="31"/>
      <c r="H31" s="313">
        <f t="shared" si="3"/>
        <v>17100000</v>
      </c>
      <c r="I31" s="319">
        <f t="shared" si="4"/>
        <v>1881000</v>
      </c>
      <c r="J31" s="313">
        <f t="shared" ref="J31" si="9">H31+I31</f>
        <v>18981000</v>
      </c>
      <c r="L31" s="190">
        <v>45771</v>
      </c>
      <c r="M31" s="327"/>
      <c r="N31" s="327">
        <f t="shared" si="7"/>
        <v>18981000</v>
      </c>
      <c r="P31" s="326">
        <f t="shared" si="5"/>
        <v>0</v>
      </c>
    </row>
    <row r="32" spans="1:16">
      <c r="A32" s="152"/>
      <c r="B32" s="14"/>
      <c r="C32" s="15"/>
      <c r="D32" s="16"/>
      <c r="E32" s="16"/>
      <c r="F32" s="16"/>
      <c r="G32" s="31"/>
      <c r="H32" s="313">
        <f t="shared" si="3"/>
        <v>0</v>
      </c>
      <c r="I32" s="319">
        <f t="shared" si="4"/>
        <v>0</v>
      </c>
      <c r="J32" s="313">
        <f t="shared" si="1"/>
        <v>0</v>
      </c>
      <c r="L32" s="190"/>
      <c r="M32" s="327"/>
      <c r="N32" s="327">
        <f t="shared" ref="N32" si="10">J32-M32</f>
        <v>0</v>
      </c>
      <c r="P32" s="326">
        <f t="shared" si="5"/>
        <v>0</v>
      </c>
    </row>
    <row r="33" s="1" customFormat="1" ht="17.6" spans="1:16">
      <c r="A33" s="152"/>
      <c r="B33" s="14"/>
      <c r="C33" s="120"/>
      <c r="D33" s="52"/>
      <c r="E33" s="259"/>
      <c r="F33" s="52"/>
      <c r="G33" s="316"/>
      <c r="H33" s="317">
        <f t="shared" ref="H33" si="11">SUM(D33:G33)</f>
        <v>0</v>
      </c>
      <c r="I33" s="319">
        <f t="shared" si="4"/>
        <v>0</v>
      </c>
      <c r="J33" s="317">
        <f t="shared" si="1"/>
        <v>0</v>
      </c>
      <c r="K33" s="89"/>
      <c r="L33" s="323"/>
      <c r="M33" s="302"/>
      <c r="N33" s="327">
        <v>0</v>
      </c>
      <c r="O33" s="25"/>
      <c r="P33" s="326">
        <f t="shared" si="5"/>
        <v>0</v>
      </c>
    </row>
    <row r="34" ht="21.75" customHeight="1" spans="1:17">
      <c r="A34" s="287" t="s">
        <v>10</v>
      </c>
      <c r="B34" s="288"/>
      <c r="C34" s="289"/>
      <c r="D34" s="312">
        <f t="shared" ref="D34:J34" si="12">SUM(D7:D33)</f>
        <v>1106775000</v>
      </c>
      <c r="E34" s="312">
        <f t="shared" si="12"/>
        <v>160937500</v>
      </c>
      <c r="F34" s="312">
        <f t="shared" si="12"/>
        <v>2716640034</v>
      </c>
      <c r="G34" s="312">
        <f t="shared" si="12"/>
        <v>0</v>
      </c>
      <c r="H34" s="312">
        <f t="shared" si="12"/>
        <v>3984352534</v>
      </c>
      <c r="I34" s="312">
        <f t="shared" si="12"/>
        <v>438278778.74</v>
      </c>
      <c r="J34" s="312">
        <f t="shared" si="12"/>
        <v>4422631312.74</v>
      </c>
      <c r="L34" s="93"/>
      <c r="M34" s="93">
        <f>SUM(M7:M33)</f>
        <v>22045833</v>
      </c>
      <c r="N34" s="93">
        <f>SUM(N7:N33)</f>
        <v>4265582980.24</v>
      </c>
      <c r="O34" s="1"/>
      <c r="P34" s="93">
        <f>SUM(P7:P33)</f>
        <v>135002499.5</v>
      </c>
      <c r="Q34" s="1"/>
    </row>
    <row r="35" spans="8:9">
      <c r="H35" s="39">
        <v>3799492534</v>
      </c>
      <c r="I35" s="324"/>
    </row>
    <row r="36" ht="17" spans="6:10">
      <c r="F36" s="187" t="s">
        <v>74</v>
      </c>
      <c r="G36" s="187"/>
      <c r="H36" s="87">
        <f>H34-H35</f>
        <v>184860000</v>
      </c>
      <c r="I36" s="57"/>
      <c r="J36" s="57"/>
    </row>
    <row r="37" spans="8:10">
      <c r="H37" s="87"/>
      <c r="I37" s="57"/>
      <c r="J37" s="94"/>
    </row>
    <row r="38" spans="8:12">
      <c r="H38" s="55"/>
      <c r="J38" s="94"/>
      <c r="L38" s="57">
        <f>J24+J27+J28</f>
        <v>2021451285.24</v>
      </c>
    </row>
    <row r="39" spans="8:12">
      <c r="H39" s="55"/>
      <c r="I39" s="57"/>
      <c r="J39" s="57"/>
      <c r="L39">
        <f>+'INV FEBRUARI'!J14</f>
        <v>4112550</v>
      </c>
    </row>
    <row r="40" spans="5:12">
      <c r="E40" s="318"/>
      <c r="H40" s="87"/>
      <c r="I40" s="57"/>
      <c r="J40" s="96"/>
      <c r="L40" s="57">
        <f>SUM(L38:L39)</f>
        <v>2025563835.24</v>
      </c>
    </row>
    <row r="41" spans="6:12">
      <c r="F41" s="57"/>
      <c r="H41" s="87"/>
      <c r="J41" s="96"/>
      <c r="L41" s="55">
        <v>17000000</v>
      </c>
    </row>
    <row r="42" spans="8:12">
      <c r="H42" s="87"/>
      <c r="J42" s="57"/>
      <c r="L42" s="57">
        <f>SUM(L40:L41)</f>
        <v>2042563835.24</v>
      </c>
    </row>
    <row r="43" spans="8:10">
      <c r="H43" s="87"/>
      <c r="J43" s="57"/>
    </row>
    <row r="44" spans="8:8">
      <c r="H44" s="87"/>
    </row>
    <row r="45" spans="8:8">
      <c r="H45" s="87"/>
    </row>
    <row r="46" spans="8:8">
      <c r="H46" s="87"/>
    </row>
    <row r="47" spans="8:8">
      <c r="H47" s="87"/>
    </row>
    <row r="48" spans="8:8">
      <c r="H48" s="87"/>
    </row>
    <row r="49" spans="8:8">
      <c r="H49" s="87"/>
    </row>
    <row r="50" spans="8:8">
      <c r="H50" s="87"/>
    </row>
    <row r="51" spans="8:8">
      <c r="H51" s="87"/>
    </row>
    <row r="52" spans="8:8">
      <c r="H52" s="87"/>
    </row>
    <row r="53" spans="8:8">
      <c r="H53" s="87"/>
    </row>
    <row r="54" spans="8:8">
      <c r="H54" s="87"/>
    </row>
    <row r="55" spans="8:8">
      <c r="H55" s="87"/>
    </row>
    <row r="56" spans="8:8">
      <c r="H56" s="87"/>
    </row>
    <row r="58" spans="9:9">
      <c r="I58" s="87"/>
    </row>
    <row r="59" spans="9:9">
      <c r="I59" s="87"/>
    </row>
  </sheetData>
  <autoFilter xmlns:etc="http://www.wps.cn/officeDocument/2017/etCustomData" ref="P1:P41" etc:filterBottomFollowUsedRange="0">
    <extLst/>
  </autoFilter>
  <mergeCells count="10">
    <mergeCell ref="D5:J5"/>
    <mergeCell ref="A34:C34"/>
    <mergeCell ref="F36:G36"/>
    <mergeCell ref="A5:A6"/>
    <mergeCell ref="B5:B6"/>
    <mergeCell ref="C5:C6"/>
    <mergeCell ref="L5:L6"/>
    <mergeCell ref="M5:M6"/>
    <mergeCell ref="N5:N6"/>
    <mergeCell ref="P5:P6"/>
  </mergeCells>
  <pageMargins left="0.7" right="0.7" top="0.75" bottom="0.75" header="0.3" footer="0.3"/>
  <pageSetup paperSize="1" orientation="portrait" horizontalDpi="360" verticalDpi="360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3"/>
  <sheetViews>
    <sheetView workbookViewId="0">
      <pane ySplit="6" topLeftCell="A7" activePane="bottomLeft" state="frozen"/>
      <selection/>
      <selection pane="bottomLeft" activeCell="N25" sqref="$A1:$XFD1048576"/>
    </sheetView>
  </sheetViews>
  <sheetFormatPr defaultColWidth="9" defaultRowHeight="16.8"/>
  <cols>
    <col min="1" max="1" width="12.2890625" customWidth="1"/>
    <col min="2" max="2" width="18.7109375" customWidth="1"/>
    <col min="3" max="3" width="33.7109375" customWidth="1"/>
    <col min="4" max="4" width="15.4296875" customWidth="1"/>
    <col min="5" max="5" width="14.2890625" customWidth="1"/>
    <col min="6" max="6" width="17.4296875" customWidth="1"/>
    <col min="7" max="7" width="12.4296875" customWidth="1"/>
    <col min="8" max="8" width="16.859375" customWidth="1"/>
    <col min="9" max="9" width="13.4296875" customWidth="1"/>
    <col min="10" max="10" width="14.859375" customWidth="1"/>
    <col min="11" max="11" width="4.859375" customWidth="1"/>
    <col min="12" max="12" width="14.140625" customWidth="1"/>
    <col min="13" max="13" width="13.2890625" customWidth="1"/>
    <col min="14" max="14" width="15.2890625" customWidth="1"/>
    <col min="15" max="15" width="5.7109375" customWidth="1"/>
    <col min="16" max="17" width="12.5703125" customWidth="1"/>
    <col min="18" max="18" width="32.859375" customWidth="1"/>
    <col min="19" max="19" width="24.4296875" customWidth="1"/>
    <col min="20" max="20" width="9.4296875" customWidth="1"/>
    <col min="21" max="21" width="10.5703125" customWidth="1"/>
  </cols>
  <sheetData>
    <row r="1" ht="17.6" spans="1:7">
      <c r="A1" s="2" t="s">
        <v>75</v>
      </c>
      <c r="B1" s="2"/>
      <c r="C1" s="1"/>
      <c r="D1" s="3"/>
      <c r="E1" s="25"/>
      <c r="F1" s="26"/>
      <c r="G1" s="27"/>
    </row>
    <row r="2" ht="17.6" spans="1:13">
      <c r="A2" s="285"/>
      <c r="B2" s="285"/>
      <c r="C2" s="1"/>
      <c r="D2" s="3"/>
      <c r="E2" s="25"/>
      <c r="F2" s="1"/>
      <c r="G2" s="27"/>
      <c r="J2" s="74"/>
      <c r="M2" s="74"/>
    </row>
    <row r="3" spans="1:14">
      <c r="A3" s="1"/>
      <c r="B3" s="1"/>
      <c r="C3" s="1"/>
      <c r="D3" s="3"/>
      <c r="E3" s="25"/>
      <c r="F3" s="1"/>
      <c r="G3" s="27"/>
      <c r="N3" s="74"/>
    </row>
    <row r="4" spans="1:10">
      <c r="A4" s="4" t="s">
        <v>28</v>
      </c>
      <c r="B4" s="1"/>
      <c r="C4" s="1"/>
      <c r="D4" s="3"/>
      <c r="E4" s="25"/>
      <c r="F4" s="1"/>
      <c r="G4" s="27"/>
      <c r="J4" s="74"/>
    </row>
    <row r="5" ht="22.5" customHeight="1" spans="1:16">
      <c r="A5" s="5" t="s">
        <v>29</v>
      </c>
      <c r="B5" s="6" t="s">
        <v>30</v>
      </c>
      <c r="C5" s="5" t="s">
        <v>31</v>
      </c>
      <c r="D5" s="7" t="s">
        <v>5</v>
      </c>
      <c r="E5" s="7"/>
      <c r="F5" s="7"/>
      <c r="G5" s="7"/>
      <c r="H5" s="7"/>
      <c r="I5" s="7"/>
      <c r="J5" s="7"/>
      <c r="L5" s="41" t="s">
        <v>32</v>
      </c>
      <c r="M5" s="41" t="s">
        <v>76</v>
      </c>
      <c r="N5" s="41" t="s">
        <v>34</v>
      </c>
      <c r="P5" s="41" t="s">
        <v>35</v>
      </c>
    </row>
    <row r="6" ht="23.25" customHeight="1" spans="1:16">
      <c r="A6" s="8"/>
      <c r="B6" s="9"/>
      <c r="C6" s="8"/>
      <c r="D6" s="10" t="s">
        <v>6</v>
      </c>
      <c r="E6" s="10" t="s">
        <v>7</v>
      </c>
      <c r="F6" s="28" t="s">
        <v>8</v>
      </c>
      <c r="G6" s="28" t="s">
        <v>9</v>
      </c>
      <c r="H6" s="28" t="s">
        <v>10</v>
      </c>
      <c r="I6" s="42" t="s">
        <v>28</v>
      </c>
      <c r="J6" s="42" t="s">
        <v>36</v>
      </c>
      <c r="L6" s="58"/>
      <c r="M6" s="58"/>
      <c r="N6" s="58"/>
      <c r="P6" s="41"/>
    </row>
    <row r="7" s="1" customFormat="1" ht="17.6" spans="1:21">
      <c r="A7" s="202">
        <v>45692</v>
      </c>
      <c r="B7" s="11" t="s">
        <v>77</v>
      </c>
      <c r="C7" s="12" t="s">
        <v>78</v>
      </c>
      <c r="D7" s="13"/>
      <c r="E7" s="29"/>
      <c r="F7" s="13">
        <v>9810000</v>
      </c>
      <c r="G7" s="29"/>
      <c r="H7" s="260">
        <f>SUM(D7:G7)</f>
        <v>9810000</v>
      </c>
      <c r="I7" s="132">
        <f t="shared" ref="I7:I31" si="0">H7*0.11</f>
        <v>1079100</v>
      </c>
      <c r="J7" s="294">
        <f>H7+I7</f>
        <v>10889100</v>
      </c>
      <c r="K7" s="89"/>
      <c r="L7" s="295">
        <v>45681</v>
      </c>
      <c r="M7" s="299"/>
      <c r="N7" s="300">
        <f t="shared" ref="N7:N16" si="1">J7-M7</f>
        <v>10889100</v>
      </c>
      <c r="P7" s="140">
        <f t="shared" ref="P7:P31" si="2">J7-M7-N7</f>
        <v>0</v>
      </c>
      <c r="R7" s="12"/>
      <c r="S7" s="12"/>
      <c r="T7" s="12"/>
      <c r="U7" s="12"/>
    </row>
    <row r="8" s="1" customFormat="1" ht="17.6" spans="1:21">
      <c r="A8" s="152">
        <v>45693</v>
      </c>
      <c r="B8" s="14" t="s">
        <v>79</v>
      </c>
      <c r="C8" s="15" t="s">
        <v>42</v>
      </c>
      <c r="D8" s="16"/>
      <c r="E8" s="64"/>
      <c r="F8" s="16">
        <v>6687500</v>
      </c>
      <c r="G8" s="31"/>
      <c r="H8" s="32">
        <f t="shared" ref="H8:H31" si="3">SUM(D8:G8)</f>
        <v>6687500</v>
      </c>
      <c r="I8" s="134">
        <f t="shared" si="0"/>
        <v>735625</v>
      </c>
      <c r="J8" s="296">
        <f t="shared" ref="J8:J18" si="4">H8+I8</f>
        <v>7423125</v>
      </c>
      <c r="K8" s="89"/>
      <c r="L8" s="281">
        <v>45730</v>
      </c>
      <c r="M8" s="65"/>
      <c r="N8" s="197">
        <f t="shared" si="1"/>
        <v>7423125</v>
      </c>
      <c r="P8" s="153">
        <f t="shared" si="2"/>
        <v>0</v>
      </c>
      <c r="Q8" s="73">
        <v>203788875</v>
      </c>
      <c r="R8" s="153"/>
      <c r="S8" s="15"/>
      <c r="T8" s="15"/>
      <c r="U8" s="15"/>
    </row>
    <row r="9" s="1" customFormat="1" ht="17.6" spans="1:21">
      <c r="A9" s="152">
        <v>45693</v>
      </c>
      <c r="B9" s="14" t="s">
        <v>80</v>
      </c>
      <c r="C9" s="15" t="s">
        <v>42</v>
      </c>
      <c r="D9" s="16"/>
      <c r="E9" s="64"/>
      <c r="F9" s="16">
        <v>30500000</v>
      </c>
      <c r="G9" s="31"/>
      <c r="H9" s="32">
        <f t="shared" si="3"/>
        <v>30500000</v>
      </c>
      <c r="I9" s="134">
        <f t="shared" si="0"/>
        <v>3355000</v>
      </c>
      <c r="J9" s="296">
        <f t="shared" si="4"/>
        <v>33855000</v>
      </c>
      <c r="K9" s="89"/>
      <c r="L9" s="281">
        <v>45730</v>
      </c>
      <c r="M9" s="65">
        <v>2000</v>
      </c>
      <c r="N9" s="301">
        <f t="shared" si="1"/>
        <v>33853000</v>
      </c>
      <c r="P9" s="153">
        <f t="shared" si="2"/>
        <v>0</v>
      </c>
      <c r="Q9" s="73">
        <f>P8+P9+P10+P11+P16</f>
        <v>0</v>
      </c>
      <c r="R9" s="15"/>
      <c r="S9" s="15"/>
      <c r="T9" s="15"/>
      <c r="U9" s="15"/>
    </row>
    <row r="10" s="1" customFormat="1" ht="17.6" spans="1:21">
      <c r="A10" s="152">
        <v>45694</v>
      </c>
      <c r="B10" s="14" t="s">
        <v>81</v>
      </c>
      <c r="C10" s="15" t="s">
        <v>42</v>
      </c>
      <c r="D10" s="16">
        <v>42250000</v>
      </c>
      <c r="E10" s="64"/>
      <c r="F10" s="16"/>
      <c r="G10" s="64"/>
      <c r="H10" s="32">
        <f t="shared" si="3"/>
        <v>42250000</v>
      </c>
      <c r="I10" s="134">
        <f t="shared" si="0"/>
        <v>4647500</v>
      </c>
      <c r="J10" s="296">
        <f t="shared" si="4"/>
        <v>46897500</v>
      </c>
      <c r="K10" s="89"/>
      <c r="L10" s="167">
        <v>45730</v>
      </c>
      <c r="M10" s="65">
        <f>D10*0.02</f>
        <v>845000</v>
      </c>
      <c r="N10" s="197">
        <f t="shared" si="1"/>
        <v>46052500</v>
      </c>
      <c r="P10" s="153">
        <f t="shared" si="2"/>
        <v>0</v>
      </c>
      <c r="Q10" s="73">
        <f>Q8-Q9</f>
        <v>203788875</v>
      </c>
      <c r="R10" s="15"/>
      <c r="S10" s="303"/>
      <c r="T10" s="152"/>
      <c r="U10" s="153"/>
    </row>
    <row r="11" s="1" customFormat="1" ht="17.6" spans="1:21">
      <c r="A11" s="152">
        <v>45694</v>
      </c>
      <c r="B11" s="14" t="s">
        <v>82</v>
      </c>
      <c r="C11" s="15" t="s">
        <v>42</v>
      </c>
      <c r="D11" s="16">
        <v>5875000</v>
      </c>
      <c r="E11" s="31"/>
      <c r="F11" s="16"/>
      <c r="G11" s="290"/>
      <c r="H11" s="32">
        <f t="shared" si="3"/>
        <v>5875000</v>
      </c>
      <c r="I11" s="134">
        <f t="shared" si="0"/>
        <v>646250</v>
      </c>
      <c r="J11" s="296">
        <f t="shared" si="4"/>
        <v>6521250</v>
      </c>
      <c r="K11" s="89"/>
      <c r="L11" s="167">
        <v>45730</v>
      </c>
      <c r="M11" s="197">
        <f>D11*0.02</f>
        <v>117500</v>
      </c>
      <c r="N11" s="197">
        <f t="shared" si="1"/>
        <v>6403750</v>
      </c>
      <c r="P11" s="153">
        <f t="shared" si="2"/>
        <v>0</v>
      </c>
      <c r="R11" s="15"/>
      <c r="S11" s="15"/>
      <c r="T11" s="167"/>
      <c r="U11" s="153"/>
    </row>
    <row r="12" s="1" customFormat="1" ht="17.6" spans="1:21">
      <c r="A12" s="152">
        <v>45694</v>
      </c>
      <c r="B12" s="14" t="s">
        <v>83</v>
      </c>
      <c r="C12" s="15" t="s">
        <v>63</v>
      </c>
      <c r="D12" s="16"/>
      <c r="E12" s="64"/>
      <c r="F12" s="16">
        <v>56875000</v>
      </c>
      <c r="G12" s="31"/>
      <c r="H12" s="32">
        <f t="shared" si="3"/>
        <v>56875000</v>
      </c>
      <c r="I12" s="134">
        <f t="shared" si="0"/>
        <v>6256250</v>
      </c>
      <c r="J12" s="296">
        <f t="shared" si="4"/>
        <v>63131250</v>
      </c>
      <c r="K12" s="89"/>
      <c r="L12" s="167">
        <v>45714</v>
      </c>
      <c r="M12" s="197">
        <f t="shared" ref="M12" si="5">D12*0.02</f>
        <v>0</v>
      </c>
      <c r="N12" s="197">
        <f t="shared" si="1"/>
        <v>63131250</v>
      </c>
      <c r="P12" s="153">
        <f t="shared" si="2"/>
        <v>0</v>
      </c>
      <c r="R12" s="15"/>
      <c r="S12" s="15"/>
      <c r="T12" s="167"/>
      <c r="U12" s="153"/>
    </row>
    <row r="13" s="1" customFormat="1" ht="17.6" spans="1:21">
      <c r="A13" s="152">
        <v>45695</v>
      </c>
      <c r="B13" s="14" t="s">
        <v>84</v>
      </c>
      <c r="C13" s="15" t="s">
        <v>85</v>
      </c>
      <c r="D13" s="16"/>
      <c r="E13" s="64">
        <v>15000000</v>
      </c>
      <c r="F13" s="16"/>
      <c r="G13" s="31"/>
      <c r="H13" s="32">
        <f t="shared" si="3"/>
        <v>15000000</v>
      </c>
      <c r="I13" s="134">
        <f t="shared" si="0"/>
        <v>1650000</v>
      </c>
      <c r="J13" s="296">
        <f t="shared" si="4"/>
        <v>16650000</v>
      </c>
      <c r="K13" s="89"/>
      <c r="L13" s="167">
        <v>45730</v>
      </c>
      <c r="M13" s="197"/>
      <c r="N13" s="197">
        <f t="shared" si="1"/>
        <v>16650000</v>
      </c>
      <c r="P13" s="153">
        <f t="shared" si="2"/>
        <v>0</v>
      </c>
      <c r="R13" s="15"/>
      <c r="S13" s="15"/>
      <c r="T13" s="167"/>
      <c r="U13" s="153"/>
    </row>
    <row r="14" s="1" customFormat="1" ht="17.6" spans="1:21">
      <c r="A14" s="152">
        <v>45695</v>
      </c>
      <c r="B14" s="14" t="s">
        <v>86</v>
      </c>
      <c r="C14" s="15" t="s">
        <v>57</v>
      </c>
      <c r="D14" s="16"/>
      <c r="E14" s="64">
        <v>3705000</v>
      </c>
      <c r="F14" s="291"/>
      <c r="G14" s="31"/>
      <c r="H14" s="32">
        <f t="shared" si="3"/>
        <v>3705000</v>
      </c>
      <c r="I14" s="134">
        <f t="shared" si="0"/>
        <v>407550</v>
      </c>
      <c r="J14" s="296">
        <f t="shared" ref="J14" si="6">H14+I14</f>
        <v>4112550</v>
      </c>
      <c r="K14" s="89"/>
      <c r="L14" s="167">
        <v>45730</v>
      </c>
      <c r="M14" s="197">
        <v>2000</v>
      </c>
      <c r="N14" s="102">
        <f t="shared" si="1"/>
        <v>4110550</v>
      </c>
      <c r="P14" s="153">
        <f t="shared" si="2"/>
        <v>0</v>
      </c>
      <c r="Q14" s="73">
        <f>P14+P19</f>
        <v>0</v>
      </c>
      <c r="R14" s="15"/>
      <c r="S14" s="15"/>
      <c r="T14" s="167"/>
      <c r="U14" s="153"/>
    </row>
    <row r="15" s="1" customFormat="1" ht="17.6" spans="1:21">
      <c r="A15" s="152">
        <v>45693</v>
      </c>
      <c r="B15" s="14" t="s">
        <v>87</v>
      </c>
      <c r="C15" s="15" t="s">
        <v>63</v>
      </c>
      <c r="D15" s="16"/>
      <c r="E15" s="64"/>
      <c r="F15" s="16">
        <v>56875000</v>
      </c>
      <c r="G15" s="64"/>
      <c r="H15" s="32">
        <f t="shared" si="3"/>
        <v>56875000</v>
      </c>
      <c r="I15" s="134">
        <f t="shared" si="0"/>
        <v>6256250</v>
      </c>
      <c r="J15" s="296">
        <f t="shared" si="4"/>
        <v>63131250</v>
      </c>
      <c r="K15" s="89"/>
      <c r="L15" s="167">
        <v>45714</v>
      </c>
      <c r="M15" s="197"/>
      <c r="N15" s="197">
        <f t="shared" si="1"/>
        <v>63131250</v>
      </c>
      <c r="P15" s="153">
        <f t="shared" si="2"/>
        <v>0</v>
      </c>
      <c r="Q15" s="73"/>
      <c r="R15" s="15"/>
      <c r="S15" s="15"/>
      <c r="T15" s="167"/>
      <c r="U15" s="197"/>
    </row>
    <row r="16" s="1" customFormat="1" ht="17.6" spans="1:21">
      <c r="A16" s="152">
        <v>45698</v>
      </c>
      <c r="B16" s="14" t="s">
        <v>88</v>
      </c>
      <c r="C16" s="15" t="s">
        <v>42</v>
      </c>
      <c r="D16" s="16"/>
      <c r="E16" s="64"/>
      <c r="F16" s="16">
        <v>99150000</v>
      </c>
      <c r="G16" s="31"/>
      <c r="H16" s="32">
        <f t="shared" si="3"/>
        <v>99150000</v>
      </c>
      <c r="I16" s="134">
        <f t="shared" si="0"/>
        <v>10906500</v>
      </c>
      <c r="J16" s="296">
        <f t="shared" si="4"/>
        <v>110056500</v>
      </c>
      <c r="K16" s="89"/>
      <c r="L16" s="281">
        <v>45730</v>
      </c>
      <c r="M16" s="65"/>
      <c r="N16" s="197">
        <f t="shared" si="1"/>
        <v>110056500</v>
      </c>
      <c r="P16" s="153">
        <f t="shared" si="2"/>
        <v>0</v>
      </c>
      <c r="Q16" s="73"/>
      <c r="R16" s="15"/>
      <c r="S16" s="15"/>
      <c r="T16" s="15"/>
      <c r="U16" s="15"/>
    </row>
    <row r="17" s="1" customFormat="1" ht="17.6" spans="1:21">
      <c r="A17" s="152">
        <v>45699</v>
      </c>
      <c r="B17" s="14" t="s">
        <v>89</v>
      </c>
      <c r="C17" s="15" t="s">
        <v>52</v>
      </c>
      <c r="D17" s="16"/>
      <c r="E17" s="64"/>
      <c r="F17" s="16">
        <v>35625000</v>
      </c>
      <c r="G17" s="31"/>
      <c r="H17" s="32">
        <f t="shared" si="3"/>
        <v>35625000</v>
      </c>
      <c r="I17" s="134">
        <f t="shared" si="0"/>
        <v>3918750</v>
      </c>
      <c r="J17" s="296">
        <f t="shared" si="4"/>
        <v>39543750</v>
      </c>
      <c r="K17" s="89"/>
      <c r="L17" s="281">
        <v>45742</v>
      </c>
      <c r="M17" s="65"/>
      <c r="N17" s="197">
        <f t="shared" ref="N17:N24" si="7">J17-M17</f>
        <v>39543750</v>
      </c>
      <c r="P17" s="153">
        <f t="shared" si="2"/>
        <v>0</v>
      </c>
      <c r="Q17" s="304"/>
      <c r="R17" s="153"/>
      <c r="S17" s="15"/>
      <c r="T17" s="15"/>
      <c r="U17" s="15"/>
    </row>
    <row r="18" s="1" customFormat="1" ht="17.6" spans="1:21">
      <c r="A18" s="152">
        <v>45698</v>
      </c>
      <c r="B18" s="14" t="s">
        <v>90</v>
      </c>
      <c r="C18" s="15" t="s">
        <v>91</v>
      </c>
      <c r="D18" s="16">
        <f>37050000</f>
        <v>37050000</v>
      </c>
      <c r="E18" s="31"/>
      <c r="F18" s="16">
        <v>20056025</v>
      </c>
      <c r="G18" s="31"/>
      <c r="H18" s="32">
        <f t="shared" si="3"/>
        <v>57106025</v>
      </c>
      <c r="I18" s="134">
        <f t="shared" si="0"/>
        <v>6281662.75</v>
      </c>
      <c r="J18" s="296">
        <f t="shared" si="4"/>
        <v>63387687.75</v>
      </c>
      <c r="K18" s="89"/>
      <c r="L18" s="167">
        <v>45699</v>
      </c>
      <c r="M18" s="65">
        <f>D18*0.02</f>
        <v>741000</v>
      </c>
      <c r="N18" s="197">
        <f t="shared" si="7"/>
        <v>62646687.75</v>
      </c>
      <c r="P18" s="153">
        <f t="shared" si="2"/>
        <v>0</v>
      </c>
      <c r="R18" s="15"/>
      <c r="S18" s="15"/>
      <c r="T18" s="15"/>
      <c r="U18" s="15"/>
    </row>
    <row r="19" s="1" customFormat="1" ht="17.6" spans="1:21">
      <c r="A19" s="152">
        <v>45699</v>
      </c>
      <c r="B19" s="14" t="s">
        <v>92</v>
      </c>
      <c r="C19" s="15" t="s">
        <v>57</v>
      </c>
      <c r="D19" s="16"/>
      <c r="E19" s="31">
        <v>16463000</v>
      </c>
      <c r="F19" s="16"/>
      <c r="G19" s="31"/>
      <c r="H19" s="32">
        <f t="shared" si="3"/>
        <v>16463000</v>
      </c>
      <c r="I19" s="134">
        <f t="shared" si="0"/>
        <v>1810930</v>
      </c>
      <c r="J19" s="296">
        <f t="shared" ref="J19:J26" si="8">H19+I19</f>
        <v>18273930</v>
      </c>
      <c r="K19" s="89"/>
      <c r="L19" s="167">
        <v>45730</v>
      </c>
      <c r="M19" s="65"/>
      <c r="N19" s="197">
        <f t="shared" si="7"/>
        <v>18273930</v>
      </c>
      <c r="P19" s="153">
        <f t="shared" si="2"/>
        <v>0</v>
      </c>
      <c r="R19" s="15"/>
      <c r="S19" s="15"/>
      <c r="T19" s="15"/>
      <c r="U19" s="15"/>
    </row>
    <row r="20" s="1" customFormat="1" ht="17.6" spans="1:21">
      <c r="A20" s="152">
        <v>45691</v>
      </c>
      <c r="B20" s="14" t="s">
        <v>93</v>
      </c>
      <c r="C20" s="15" t="s">
        <v>40</v>
      </c>
      <c r="D20" s="16">
        <v>55000000</v>
      </c>
      <c r="E20" s="31"/>
      <c r="F20" s="16"/>
      <c r="G20" s="31"/>
      <c r="H20" s="32">
        <f t="shared" si="3"/>
        <v>55000000</v>
      </c>
      <c r="I20" s="134">
        <f t="shared" si="0"/>
        <v>6050000</v>
      </c>
      <c r="J20" s="296">
        <f t="shared" si="8"/>
        <v>61050000</v>
      </c>
      <c r="K20" s="89"/>
      <c r="L20" s="167">
        <v>45736</v>
      </c>
      <c r="M20" s="65">
        <f>D20*0.02</f>
        <v>1100000</v>
      </c>
      <c r="N20" s="197">
        <f t="shared" si="7"/>
        <v>59950000</v>
      </c>
      <c r="P20" s="153">
        <f t="shared" si="2"/>
        <v>0</v>
      </c>
      <c r="Q20" s="73"/>
      <c r="R20" s="15"/>
      <c r="S20" s="15"/>
      <c r="T20" s="15"/>
      <c r="U20" s="15"/>
    </row>
    <row r="21" s="1" customFormat="1" ht="17.6" spans="1:21">
      <c r="A21" s="152">
        <v>45700</v>
      </c>
      <c r="B21" s="14" t="s">
        <v>94</v>
      </c>
      <c r="C21" s="15" t="s">
        <v>40</v>
      </c>
      <c r="D21" s="16"/>
      <c r="E21" s="31"/>
      <c r="F21" s="16">
        <v>2090000</v>
      </c>
      <c r="G21" s="31"/>
      <c r="H21" s="32">
        <f t="shared" si="3"/>
        <v>2090000</v>
      </c>
      <c r="I21" s="134">
        <f t="shared" si="0"/>
        <v>229900</v>
      </c>
      <c r="J21" s="296">
        <f t="shared" si="8"/>
        <v>2319900</v>
      </c>
      <c r="K21" s="89"/>
      <c r="L21" s="167">
        <v>45736</v>
      </c>
      <c r="M21" s="65"/>
      <c r="N21" s="197">
        <f t="shared" si="7"/>
        <v>2319900</v>
      </c>
      <c r="P21" s="153">
        <f t="shared" si="2"/>
        <v>0</v>
      </c>
      <c r="R21" s="15"/>
      <c r="S21" s="15"/>
      <c r="T21" s="15"/>
      <c r="U21" s="15"/>
    </row>
    <row r="22" s="1" customFormat="1" ht="17.6" spans="1:21">
      <c r="A22" s="152">
        <v>45701</v>
      </c>
      <c r="B22" s="14" t="s">
        <v>95</v>
      </c>
      <c r="C22" s="15" t="s">
        <v>73</v>
      </c>
      <c r="D22" s="16"/>
      <c r="E22" s="31"/>
      <c r="F22" s="16"/>
      <c r="G22" s="31">
        <v>272100000</v>
      </c>
      <c r="H22" s="32">
        <f t="shared" si="3"/>
        <v>272100000</v>
      </c>
      <c r="I22" s="134">
        <f t="shared" si="0"/>
        <v>29931000</v>
      </c>
      <c r="J22" s="296">
        <f t="shared" si="8"/>
        <v>302031000</v>
      </c>
      <c r="K22" s="89"/>
      <c r="L22" s="167">
        <v>45771</v>
      </c>
      <c r="M22" s="65"/>
      <c r="N22" s="197">
        <f t="shared" si="7"/>
        <v>302031000</v>
      </c>
      <c r="P22" s="153">
        <f t="shared" si="2"/>
        <v>0</v>
      </c>
      <c r="R22" s="15"/>
      <c r="S22" s="15"/>
      <c r="T22" s="15"/>
      <c r="U22" s="15"/>
    </row>
    <row r="23" s="1" customFormat="1" ht="17.6" spans="1:21">
      <c r="A23" s="152">
        <v>45701</v>
      </c>
      <c r="B23" s="14" t="s">
        <v>96</v>
      </c>
      <c r="C23" s="15" t="s">
        <v>42</v>
      </c>
      <c r="D23" s="16"/>
      <c r="E23" s="31"/>
      <c r="F23" s="16">
        <v>59825000</v>
      </c>
      <c r="G23" s="31"/>
      <c r="H23" s="32">
        <f t="shared" si="3"/>
        <v>59825000</v>
      </c>
      <c r="I23" s="134">
        <f t="shared" si="0"/>
        <v>6580750</v>
      </c>
      <c r="J23" s="296">
        <f t="shared" si="8"/>
        <v>66405750</v>
      </c>
      <c r="K23" s="89"/>
      <c r="L23" s="167">
        <v>45743</v>
      </c>
      <c r="M23" s="65"/>
      <c r="N23" s="197">
        <f t="shared" si="7"/>
        <v>66405750</v>
      </c>
      <c r="P23" s="153">
        <f t="shared" si="2"/>
        <v>0</v>
      </c>
      <c r="R23" s="15"/>
      <c r="S23" s="15"/>
      <c r="T23" s="15"/>
      <c r="U23" s="15"/>
    </row>
    <row r="24" s="1" customFormat="1" ht="17.6" spans="1:21">
      <c r="A24" s="152">
        <v>45702</v>
      </c>
      <c r="B24" s="14" t="s">
        <v>97</v>
      </c>
      <c r="C24" s="15" t="s">
        <v>98</v>
      </c>
      <c r="D24" s="16"/>
      <c r="E24" s="31">
        <v>99450000</v>
      </c>
      <c r="F24" s="16"/>
      <c r="G24" s="31"/>
      <c r="H24" s="32">
        <f t="shared" si="3"/>
        <v>99450000</v>
      </c>
      <c r="I24" s="134">
        <f t="shared" si="0"/>
        <v>10939500</v>
      </c>
      <c r="J24" s="296">
        <f t="shared" si="8"/>
        <v>110389500</v>
      </c>
      <c r="K24" s="89"/>
      <c r="L24" s="167">
        <v>45793</v>
      </c>
      <c r="M24" s="65"/>
      <c r="N24" s="197">
        <f t="shared" si="7"/>
        <v>110389500</v>
      </c>
      <c r="P24" s="153">
        <f t="shared" si="2"/>
        <v>0</v>
      </c>
      <c r="R24" s="15"/>
      <c r="S24" s="15"/>
      <c r="T24" s="15"/>
      <c r="U24" s="15"/>
    </row>
    <row r="25" s="1" customFormat="1" ht="17.6" spans="1:21">
      <c r="A25" s="152">
        <v>45712</v>
      </c>
      <c r="B25" s="14" t="s">
        <v>99</v>
      </c>
      <c r="C25" s="15" t="s">
        <v>100</v>
      </c>
      <c r="D25" s="16"/>
      <c r="E25" s="31"/>
      <c r="F25" s="16">
        <v>26125000</v>
      </c>
      <c r="G25" s="31"/>
      <c r="H25" s="32">
        <f t="shared" si="3"/>
        <v>26125000</v>
      </c>
      <c r="I25" s="134">
        <f t="shared" si="0"/>
        <v>2873750</v>
      </c>
      <c r="J25" s="296">
        <f t="shared" si="8"/>
        <v>28998750</v>
      </c>
      <c r="K25" s="89"/>
      <c r="L25" s="167"/>
      <c r="M25" s="65"/>
      <c r="N25" s="197">
        <v>0</v>
      </c>
      <c r="P25" s="153">
        <f t="shared" si="2"/>
        <v>28998750</v>
      </c>
      <c r="R25" s="15"/>
      <c r="S25" s="15"/>
      <c r="T25" s="15"/>
      <c r="U25" s="15"/>
    </row>
    <row r="26" s="1" customFormat="1" ht="17.6" spans="1:21">
      <c r="A26" s="152">
        <v>45712</v>
      </c>
      <c r="B26" s="14" t="s">
        <v>101</v>
      </c>
      <c r="C26" s="15" t="s">
        <v>100</v>
      </c>
      <c r="D26" s="16"/>
      <c r="E26" s="31"/>
      <c r="F26" s="16">
        <v>34200000</v>
      </c>
      <c r="G26" s="31"/>
      <c r="H26" s="32">
        <f t="shared" si="3"/>
        <v>34200000</v>
      </c>
      <c r="I26" s="134">
        <f t="shared" si="0"/>
        <v>3762000</v>
      </c>
      <c r="J26" s="296">
        <f t="shared" si="8"/>
        <v>37962000</v>
      </c>
      <c r="K26" s="89"/>
      <c r="L26" s="167"/>
      <c r="M26" s="65"/>
      <c r="N26" s="197">
        <v>0</v>
      </c>
      <c r="P26" s="153">
        <f t="shared" si="2"/>
        <v>37962000</v>
      </c>
      <c r="R26" s="15"/>
      <c r="S26" s="15"/>
      <c r="T26" s="15"/>
      <c r="U26" s="15"/>
    </row>
    <row r="27" s="1" customFormat="1" ht="17.6" spans="1:21">
      <c r="A27" s="152">
        <v>45709</v>
      </c>
      <c r="B27" s="14" t="s">
        <v>102</v>
      </c>
      <c r="C27" s="15" t="s">
        <v>42</v>
      </c>
      <c r="D27" s="16"/>
      <c r="E27" s="31"/>
      <c r="F27" s="16">
        <v>3350000</v>
      </c>
      <c r="G27" s="31"/>
      <c r="H27" s="32">
        <f t="shared" si="3"/>
        <v>3350000</v>
      </c>
      <c r="I27" s="134">
        <f t="shared" ref="I27:I28" si="9">H27*0.11</f>
        <v>368500</v>
      </c>
      <c r="J27" s="296">
        <f t="shared" ref="J27:J28" si="10">H27+I27</f>
        <v>3718500</v>
      </c>
      <c r="K27" s="89"/>
      <c r="L27" s="167">
        <v>45743</v>
      </c>
      <c r="M27" s="65">
        <v>2000</v>
      </c>
      <c r="N27" s="197">
        <f>J27-M27</f>
        <v>3716500</v>
      </c>
      <c r="P27" s="153">
        <f t="shared" si="2"/>
        <v>0</v>
      </c>
      <c r="R27" s="15"/>
      <c r="S27" s="15"/>
      <c r="T27" s="15"/>
      <c r="U27" s="15"/>
    </row>
    <row r="28" s="1" customFormat="1" ht="17.6" spans="1:21">
      <c r="A28" s="152">
        <v>45712</v>
      </c>
      <c r="B28" s="14" t="s">
        <v>103</v>
      </c>
      <c r="C28" s="15" t="s">
        <v>98</v>
      </c>
      <c r="D28" s="16"/>
      <c r="E28" s="31">
        <v>50400000</v>
      </c>
      <c r="F28" s="16"/>
      <c r="G28" s="31"/>
      <c r="H28" s="292">
        <f t="shared" si="3"/>
        <v>50400000</v>
      </c>
      <c r="I28" s="134">
        <f t="shared" si="9"/>
        <v>5544000</v>
      </c>
      <c r="J28" s="296">
        <f t="shared" si="10"/>
        <v>55944000</v>
      </c>
      <c r="K28" s="89"/>
      <c r="L28" s="167">
        <v>45784</v>
      </c>
      <c r="M28" s="65">
        <f>D28*0.02</f>
        <v>0</v>
      </c>
      <c r="N28" s="197">
        <f>J28-M28</f>
        <v>55944000</v>
      </c>
      <c r="P28" s="153">
        <f t="shared" si="2"/>
        <v>0</v>
      </c>
      <c r="R28" s="15"/>
      <c r="S28" s="15"/>
      <c r="T28" s="15"/>
      <c r="U28" s="15"/>
    </row>
    <row r="29" s="1" customFormat="1" ht="17.6" spans="1:21">
      <c r="A29" s="152">
        <v>45714</v>
      </c>
      <c r="B29" s="14" t="s">
        <v>104</v>
      </c>
      <c r="C29" s="15" t="s">
        <v>42</v>
      </c>
      <c r="D29" s="16">
        <v>103400000</v>
      </c>
      <c r="E29" s="31"/>
      <c r="F29" s="16"/>
      <c r="G29" s="31"/>
      <c r="H29" s="292">
        <f t="shared" ref="H29:H30" si="11">SUM(D29:G29)</f>
        <v>103400000</v>
      </c>
      <c r="I29" s="134">
        <f t="shared" ref="I29:I30" si="12">H29*0.11</f>
        <v>11374000</v>
      </c>
      <c r="J29" s="296">
        <f t="shared" ref="J29:J30" si="13">H29+I29</f>
        <v>114774000</v>
      </c>
      <c r="K29" s="89"/>
      <c r="L29" s="167">
        <v>45743</v>
      </c>
      <c r="M29" s="65">
        <f>D29*0.02</f>
        <v>2068000</v>
      </c>
      <c r="N29" s="197">
        <f>J29-M29</f>
        <v>112706000</v>
      </c>
      <c r="P29" s="153">
        <f t="shared" si="2"/>
        <v>0</v>
      </c>
      <c r="R29" s="15"/>
      <c r="S29" s="15"/>
      <c r="T29" s="15"/>
      <c r="U29" s="15"/>
    </row>
    <row r="30" s="1" customFormat="1" ht="17.6" spans="1:21">
      <c r="A30" s="152">
        <v>45715</v>
      </c>
      <c r="B30" s="14" t="s">
        <v>105</v>
      </c>
      <c r="C30" s="15" t="s">
        <v>106</v>
      </c>
      <c r="D30" s="16"/>
      <c r="E30" s="31">
        <v>19041993</v>
      </c>
      <c r="F30" s="16"/>
      <c r="G30" s="31"/>
      <c r="H30" s="292">
        <f t="shared" si="11"/>
        <v>19041993</v>
      </c>
      <c r="I30" s="134">
        <f t="shared" si="12"/>
        <v>2094619.23</v>
      </c>
      <c r="J30" s="296">
        <f t="shared" si="13"/>
        <v>21136612.23</v>
      </c>
      <c r="K30" s="89"/>
      <c r="L30" s="167">
        <v>45729</v>
      </c>
      <c r="M30" s="65"/>
      <c r="N30" s="197">
        <f>J30-M30</f>
        <v>21136612.23</v>
      </c>
      <c r="P30" s="153">
        <f t="shared" si="2"/>
        <v>0</v>
      </c>
      <c r="R30" s="15"/>
      <c r="S30" s="15"/>
      <c r="T30" s="15"/>
      <c r="U30" s="15"/>
    </row>
    <row r="31" s="1" customFormat="1" ht="17.6" spans="1:21">
      <c r="A31" s="286"/>
      <c r="B31" s="119"/>
      <c r="C31" s="120"/>
      <c r="D31" s="52"/>
      <c r="E31" s="259"/>
      <c r="F31" s="52"/>
      <c r="G31" s="259"/>
      <c r="H31" s="293">
        <f t="shared" si="3"/>
        <v>0</v>
      </c>
      <c r="I31" s="297">
        <f t="shared" si="0"/>
        <v>0</v>
      </c>
      <c r="J31" s="298">
        <f t="shared" ref="J31" si="14">H31+I31</f>
        <v>0</v>
      </c>
      <c r="K31" s="89"/>
      <c r="L31" s="54"/>
      <c r="M31" s="302">
        <f>D31*0.02</f>
        <v>0</v>
      </c>
      <c r="N31" s="302">
        <f t="shared" ref="N31" si="15">J31-M31</f>
        <v>0</v>
      </c>
      <c r="P31" s="183">
        <f t="shared" si="2"/>
        <v>0</v>
      </c>
      <c r="R31" s="15"/>
      <c r="S31" s="15"/>
      <c r="T31" s="167"/>
      <c r="U31" s="153"/>
    </row>
    <row r="32" ht="21.75" customHeight="1" spans="1:21">
      <c r="A32" s="287" t="s">
        <v>10</v>
      </c>
      <c r="B32" s="288"/>
      <c r="C32" s="289"/>
      <c r="D32" s="93">
        <f t="shared" ref="D32:J32" si="16">SUM(D7:D31)</f>
        <v>243575000</v>
      </c>
      <c r="E32" s="93">
        <f t="shared" si="16"/>
        <v>204059993</v>
      </c>
      <c r="F32" s="93">
        <f t="shared" si="16"/>
        <v>441168525</v>
      </c>
      <c r="G32" s="93">
        <f t="shared" si="16"/>
        <v>272100000</v>
      </c>
      <c r="H32" s="93">
        <f t="shared" si="16"/>
        <v>1160903518</v>
      </c>
      <c r="I32" s="93">
        <f t="shared" si="16"/>
        <v>127699386.98</v>
      </c>
      <c r="J32" s="93">
        <f t="shared" si="16"/>
        <v>1288602904.98</v>
      </c>
      <c r="L32" s="93"/>
      <c r="M32" s="93">
        <f>SUM(M7:M31)</f>
        <v>4877500</v>
      </c>
      <c r="N32" s="93">
        <f>SUM(N7:N31)</f>
        <v>1216764654.98</v>
      </c>
      <c r="P32" s="93">
        <f>SUM(P7:P31)</f>
        <v>66960750</v>
      </c>
      <c r="Q32" s="305"/>
      <c r="R32" s="86"/>
      <c r="S32" s="86"/>
      <c r="T32" s="86"/>
      <c r="U32" s="86">
        <f>SUM(U7:U31)</f>
        <v>0</v>
      </c>
    </row>
    <row r="33" spans="8:21">
      <c r="H33" s="39"/>
      <c r="U33" s="57">
        <f>M32-U32</f>
        <v>4877500</v>
      </c>
    </row>
    <row r="34" spans="7:8">
      <c r="G34" s="139"/>
      <c r="H34" s="87"/>
    </row>
    <row r="35" spans="5:10">
      <c r="E35" s="57"/>
      <c r="G35" s="139"/>
      <c r="H35" s="87"/>
      <c r="J35" s="74">
        <f>J27+J29</f>
        <v>118492500</v>
      </c>
    </row>
    <row r="36" spans="5:14">
      <c r="E36" s="57"/>
      <c r="G36" s="139"/>
      <c r="H36" s="87"/>
      <c r="J36" s="74">
        <f>J23</f>
        <v>66405750</v>
      </c>
      <c r="N36" s="74">
        <f>N23+N27+N29</f>
        <v>182828250</v>
      </c>
    </row>
    <row r="37" spans="7:10">
      <c r="G37" s="139"/>
      <c r="H37" s="87"/>
      <c r="J37" s="74">
        <f>SUM(J35:J36)</f>
        <v>184898250</v>
      </c>
    </row>
    <row r="38" spans="7:8">
      <c r="G38" s="139"/>
      <c r="H38" s="87"/>
    </row>
    <row r="39" spans="7:8">
      <c r="G39" s="139"/>
      <c r="H39" s="87"/>
    </row>
    <row r="40" spans="3:8">
      <c r="C40" s="57"/>
      <c r="G40" s="139"/>
      <c r="H40" s="87"/>
    </row>
    <row r="41" spans="3:8">
      <c r="C41" s="129"/>
      <c r="E41" s="129"/>
      <c r="G41" s="139"/>
      <c r="H41" s="87"/>
    </row>
    <row r="42" spans="3:8">
      <c r="C42" s="39"/>
      <c r="G42" s="139"/>
      <c r="H42" s="87"/>
    </row>
    <row r="43" spans="3:8">
      <c r="C43" s="57"/>
      <c r="E43" s="57"/>
      <c r="G43" s="139"/>
      <c r="H43" s="87"/>
    </row>
    <row r="44" spans="7:8">
      <c r="G44" s="139"/>
      <c r="H44" s="87"/>
    </row>
    <row r="45" spans="7:8">
      <c r="G45" s="139"/>
      <c r="H45" s="87"/>
    </row>
    <row r="46" spans="8:14">
      <c r="H46" s="94"/>
      <c r="J46" s="74"/>
      <c r="L46" s="74"/>
      <c r="N46" s="74"/>
    </row>
    <row r="47" spans="8:14">
      <c r="H47" s="87"/>
      <c r="J47" s="74"/>
      <c r="N47" s="74"/>
    </row>
    <row r="48" spans="8:14">
      <c r="H48" s="94"/>
      <c r="J48" s="74"/>
      <c r="N48" s="74"/>
    </row>
    <row r="49" spans="8:10">
      <c r="H49" s="94"/>
      <c r="J49" s="74"/>
    </row>
    <row r="50" spans="8:10">
      <c r="H50" s="94"/>
      <c r="J50" s="74"/>
    </row>
    <row r="51" spans="8:8">
      <c r="H51" s="94"/>
    </row>
    <row r="52" spans="8:8">
      <c r="H52" s="94"/>
    </row>
    <row r="53" spans="8:8">
      <c r="H53" s="94"/>
    </row>
    <row r="54" spans="8:8">
      <c r="H54" s="94"/>
    </row>
    <row r="55" spans="8:8">
      <c r="H55" s="94"/>
    </row>
    <row r="56" spans="8:8">
      <c r="H56" s="94"/>
    </row>
    <row r="57" spans="8:8">
      <c r="H57" s="94"/>
    </row>
    <row r="58" spans="8:8">
      <c r="H58" s="94"/>
    </row>
    <row r="59" spans="8:8">
      <c r="H59" s="94"/>
    </row>
    <row r="60" spans="8:8">
      <c r="H60" s="94"/>
    </row>
    <row r="61" spans="8:8">
      <c r="H61" s="94"/>
    </row>
    <row r="62" spans="8:9">
      <c r="H62" s="94"/>
      <c r="I62" s="87"/>
    </row>
    <row r="63" spans="8:9">
      <c r="H63" s="94"/>
      <c r="I63" s="87"/>
    </row>
    <row r="64" spans="8:8">
      <c r="H64" s="94"/>
    </row>
    <row r="65" spans="8:8">
      <c r="H65" s="94"/>
    </row>
    <row r="66" spans="8:8">
      <c r="H66" s="94"/>
    </row>
    <row r="67" spans="8:8">
      <c r="H67" s="94"/>
    </row>
    <row r="68" spans="8:8">
      <c r="H68" s="94"/>
    </row>
    <row r="69" spans="8:8">
      <c r="H69" s="94"/>
    </row>
    <row r="70" spans="8:8">
      <c r="H70" s="94"/>
    </row>
    <row r="71" spans="8:8">
      <c r="H71" s="94"/>
    </row>
    <row r="72" spans="8:8">
      <c r="H72" s="94"/>
    </row>
    <row r="73" spans="8:9">
      <c r="H73" s="87"/>
      <c r="I73" s="57"/>
    </row>
  </sheetData>
  <autoFilter xmlns:etc="http://www.wps.cn/officeDocument/2017/etCustomData" ref="C1:C48" etc:filterBottomFollowUsedRange="0">
    <extLst/>
  </autoFilter>
  <mergeCells count="9">
    <mergeCell ref="D5:J5"/>
    <mergeCell ref="A32:C32"/>
    <mergeCell ref="A5:A6"/>
    <mergeCell ref="B5:B6"/>
    <mergeCell ref="C5:C6"/>
    <mergeCell ref="L5:L6"/>
    <mergeCell ref="M5:M6"/>
    <mergeCell ref="N5:N6"/>
    <mergeCell ref="P5:P6"/>
  </mergeCells>
  <pageMargins left="0.196850393700787" right="0.196850393700787" top="0.196850393700787" bottom="0.196850393700787" header="0.196850393700787" footer="0.196850393700787"/>
  <pageSetup paperSize="9" scale="85" orientation="landscape" horizontalDpi="360" verticalDpi="36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45"/>
  <sheetViews>
    <sheetView zoomScale="90" zoomScaleNormal="90" workbookViewId="0">
      <pane ySplit="4" topLeftCell="A5" activePane="bottomLeft" state="frozen"/>
      <selection/>
      <selection pane="bottomLeft" activeCell="D36" sqref="$A1:$XFD1048576"/>
    </sheetView>
  </sheetViews>
  <sheetFormatPr defaultColWidth="9" defaultRowHeight="16.8"/>
  <cols>
    <col min="1" max="1" width="12.2890625" customWidth="1"/>
    <col min="2" max="2" width="18.7109375" customWidth="1"/>
    <col min="3" max="3" width="33.7109375" customWidth="1"/>
    <col min="4" max="4" width="15.4296875" customWidth="1"/>
    <col min="5" max="5" width="14.2890625" customWidth="1"/>
    <col min="6" max="6" width="15.2890625" customWidth="1"/>
    <col min="7" max="7" width="17.7109375" customWidth="1"/>
    <col min="8" max="8" width="16.859375" customWidth="1"/>
    <col min="9" max="9" width="13.4296875" customWidth="1"/>
    <col min="10" max="10" width="14.859375" customWidth="1"/>
    <col min="11" max="11" width="6.2890625" customWidth="1"/>
    <col min="12" max="12" width="13.4296875" customWidth="1"/>
    <col min="13" max="13" width="10.7109375" customWidth="1"/>
    <col min="14" max="14" width="13.859375" customWidth="1"/>
    <col min="15" max="15" width="4.4296875" customWidth="1"/>
    <col min="16" max="16" width="13.5703125" customWidth="1"/>
    <col min="17" max="17" width="15" customWidth="1"/>
  </cols>
  <sheetData>
    <row r="1" ht="17.6" spans="1:13">
      <c r="A1" s="2" t="s">
        <v>107</v>
      </c>
      <c r="B1" s="2"/>
      <c r="C1" s="1"/>
      <c r="D1" s="3"/>
      <c r="E1" s="25"/>
      <c r="F1" s="26"/>
      <c r="G1" s="27"/>
      <c r="L1" s="57"/>
      <c r="M1" s="57"/>
    </row>
    <row r="2" spans="1:10">
      <c r="A2" s="4" t="s">
        <v>28</v>
      </c>
      <c r="B2" s="1"/>
      <c r="C2" s="1"/>
      <c r="D2" s="3"/>
      <c r="E2" s="25"/>
      <c r="F2" s="1"/>
      <c r="G2" s="27"/>
      <c r="J2" s="57"/>
    </row>
    <row r="3" ht="22.5" customHeight="1" spans="1:16">
      <c r="A3" s="5" t="s">
        <v>29</v>
      </c>
      <c r="B3" s="6" t="s">
        <v>30</v>
      </c>
      <c r="C3" s="5" t="s">
        <v>31</v>
      </c>
      <c r="D3" s="7" t="s">
        <v>5</v>
      </c>
      <c r="E3" s="7"/>
      <c r="F3" s="7"/>
      <c r="G3" s="7"/>
      <c r="H3" s="7"/>
      <c r="I3" s="7"/>
      <c r="J3" s="7"/>
      <c r="L3" s="41" t="s">
        <v>32</v>
      </c>
      <c r="M3" s="41" t="s">
        <v>33</v>
      </c>
      <c r="N3" s="41" t="s">
        <v>34</v>
      </c>
      <c r="P3" s="41" t="s">
        <v>35</v>
      </c>
    </row>
    <row r="4" ht="17.6" spans="1:16">
      <c r="A4" s="8"/>
      <c r="B4" s="9"/>
      <c r="C4" s="8"/>
      <c r="D4" s="10" t="s">
        <v>6</v>
      </c>
      <c r="E4" s="10" t="s">
        <v>7</v>
      </c>
      <c r="F4" s="28" t="s">
        <v>8</v>
      </c>
      <c r="G4" s="28" t="s">
        <v>9</v>
      </c>
      <c r="H4" s="28" t="s">
        <v>10</v>
      </c>
      <c r="I4" s="42" t="s">
        <v>28</v>
      </c>
      <c r="J4" s="42" t="s">
        <v>36</v>
      </c>
      <c r="L4" s="58"/>
      <c r="M4" s="58"/>
      <c r="N4" s="58"/>
      <c r="P4" s="41"/>
    </row>
    <row r="5" s="1" customFormat="1" ht="17.6" spans="1:16">
      <c r="A5" s="14">
        <v>45720</v>
      </c>
      <c r="B5" s="14" t="s">
        <v>108</v>
      </c>
      <c r="C5" s="15" t="s">
        <v>42</v>
      </c>
      <c r="D5" s="16">
        <v>250000000</v>
      </c>
      <c r="E5" s="31"/>
      <c r="F5" s="16"/>
      <c r="G5" s="31"/>
      <c r="H5" s="32">
        <f t="shared" ref="H5:H15" si="0">SUM(D5:G5)</f>
        <v>250000000</v>
      </c>
      <c r="I5" s="274">
        <f>H5*0.11</f>
        <v>27500000</v>
      </c>
      <c r="J5" s="275">
        <f>H5+I5</f>
        <v>277500000</v>
      </c>
      <c r="K5" s="89"/>
      <c r="L5" s="276">
        <v>45762</v>
      </c>
      <c r="M5" s="124">
        <f>D5*0.02</f>
        <v>5000000</v>
      </c>
      <c r="N5" s="283">
        <f t="shared" ref="N5:N12" si="1">J5-M5</f>
        <v>272500000</v>
      </c>
      <c r="P5" s="124">
        <f>J5-M5-N5</f>
        <v>0</v>
      </c>
    </row>
    <row r="6" s="1" customFormat="1" ht="17.6" spans="1:17">
      <c r="A6" s="14">
        <v>45722</v>
      </c>
      <c r="B6" s="14" t="s">
        <v>109</v>
      </c>
      <c r="C6" s="15" t="s">
        <v>110</v>
      </c>
      <c r="D6" s="16">
        <f>34950000-1230000</f>
        <v>33720000</v>
      </c>
      <c r="E6" s="31"/>
      <c r="F6" s="16">
        <f>45378000-1598000</f>
        <v>43780000</v>
      </c>
      <c r="G6" s="31"/>
      <c r="H6" s="32">
        <f t="shared" si="0"/>
        <v>77500000</v>
      </c>
      <c r="I6" s="16">
        <f>H6*0.11</f>
        <v>8525000</v>
      </c>
      <c r="J6" s="47">
        <f>H6+I6</f>
        <v>86025000</v>
      </c>
      <c r="K6" s="89"/>
      <c r="L6" s="277">
        <v>45726</v>
      </c>
      <c r="M6" s="203"/>
      <c r="N6" s="105">
        <f t="shared" si="1"/>
        <v>86025000</v>
      </c>
      <c r="P6" s="251">
        <f>J6-M6-N6</f>
        <v>0</v>
      </c>
      <c r="Q6" s="73"/>
    </row>
    <row r="7" s="1" customFormat="1" ht="17.6" spans="1:17">
      <c r="A7" s="14">
        <v>45723</v>
      </c>
      <c r="B7" s="14" t="s">
        <v>111</v>
      </c>
      <c r="C7" s="15" t="s">
        <v>57</v>
      </c>
      <c r="D7" s="16"/>
      <c r="E7" s="31">
        <v>9536000</v>
      </c>
      <c r="F7" s="16"/>
      <c r="G7" s="31"/>
      <c r="H7" s="32">
        <f t="shared" si="0"/>
        <v>9536000</v>
      </c>
      <c r="I7" s="16">
        <f>H7*0.11</f>
        <v>1048960</v>
      </c>
      <c r="J7" s="47">
        <f t="shared" ref="J7:J25" si="2">H7+I7</f>
        <v>10584960</v>
      </c>
      <c r="K7" s="278"/>
      <c r="L7" s="279">
        <v>45764</v>
      </c>
      <c r="M7" s="240"/>
      <c r="N7" s="197">
        <f t="shared" si="1"/>
        <v>10584960</v>
      </c>
      <c r="O7" s="284"/>
      <c r="P7" s="65">
        <f>J7-M7-N7</f>
        <v>0</v>
      </c>
      <c r="Q7" s="73"/>
    </row>
    <row r="8" s="1" customFormat="1" ht="17.6" spans="1:17">
      <c r="A8" s="119">
        <v>45727</v>
      </c>
      <c r="B8" s="119" t="s">
        <v>112</v>
      </c>
      <c r="C8" s="120" t="s">
        <v>42</v>
      </c>
      <c r="D8" s="259"/>
      <c r="E8" s="259"/>
      <c r="F8" s="259">
        <v>8500000</v>
      </c>
      <c r="G8" s="259"/>
      <c r="H8" s="32">
        <f t="shared" si="0"/>
        <v>8500000</v>
      </c>
      <c r="I8" s="16">
        <f>H8*0.11</f>
        <v>935000</v>
      </c>
      <c r="J8" s="47">
        <f t="shared" ref="J8" si="3">H8+I8</f>
        <v>9435000</v>
      </c>
      <c r="K8" s="89"/>
      <c r="L8" s="279">
        <v>45762</v>
      </c>
      <c r="M8" s="240">
        <v>2000</v>
      </c>
      <c r="N8" s="197">
        <f t="shared" si="1"/>
        <v>9433000</v>
      </c>
      <c r="P8" s="65">
        <f t="shared" ref="P8:P25" si="4">J8-M8-N8</f>
        <v>0</v>
      </c>
      <c r="Q8" s="73"/>
    </row>
    <row r="9" s="1" customFormat="1" ht="17.6" spans="1:16">
      <c r="A9" s="14">
        <v>45729</v>
      </c>
      <c r="B9" s="119" t="s">
        <v>113</v>
      </c>
      <c r="C9" s="15" t="s">
        <v>57</v>
      </c>
      <c r="D9" s="31"/>
      <c r="E9" s="31">
        <v>120000000</v>
      </c>
      <c r="F9" s="31"/>
      <c r="G9" s="31"/>
      <c r="H9" s="32">
        <f t="shared" si="0"/>
        <v>120000000</v>
      </c>
      <c r="I9" s="16">
        <f t="shared" ref="I9:I25" si="5">H9*0.11</f>
        <v>13200000</v>
      </c>
      <c r="J9" s="280">
        <f t="shared" si="2"/>
        <v>133200000</v>
      </c>
      <c r="K9" s="89"/>
      <c r="L9" s="279">
        <v>45764</v>
      </c>
      <c r="M9" s="240"/>
      <c r="N9" s="197">
        <f t="shared" si="1"/>
        <v>133200000</v>
      </c>
      <c r="P9" s="65">
        <f t="shared" si="4"/>
        <v>0</v>
      </c>
    </row>
    <row r="10" s="1" customFormat="1" ht="17.6" spans="1:16">
      <c r="A10" s="14">
        <v>45729</v>
      </c>
      <c r="B10" s="119" t="s">
        <v>114</v>
      </c>
      <c r="C10" s="15" t="s">
        <v>106</v>
      </c>
      <c r="D10" s="31"/>
      <c r="E10" s="31">
        <v>6500000</v>
      </c>
      <c r="F10" s="31"/>
      <c r="G10" s="31"/>
      <c r="H10" s="32">
        <f t="shared" si="0"/>
        <v>6500000</v>
      </c>
      <c r="I10" s="16">
        <f t="shared" si="5"/>
        <v>715000</v>
      </c>
      <c r="J10" s="101">
        <f t="shared" si="2"/>
        <v>7215000</v>
      </c>
      <c r="K10" s="89"/>
      <c r="L10" s="279">
        <v>45735</v>
      </c>
      <c r="M10" s="240"/>
      <c r="N10" s="197">
        <f t="shared" si="1"/>
        <v>7215000</v>
      </c>
      <c r="P10" s="65">
        <f t="shared" si="4"/>
        <v>0</v>
      </c>
    </row>
    <row r="11" s="1" customFormat="1" ht="17.6" spans="1:16">
      <c r="A11" s="14">
        <v>45730</v>
      </c>
      <c r="B11" s="14" t="s">
        <v>115</v>
      </c>
      <c r="C11" s="15" t="s">
        <v>57</v>
      </c>
      <c r="D11" s="16"/>
      <c r="E11" s="31">
        <v>106127500</v>
      </c>
      <c r="F11" s="16"/>
      <c r="G11" s="31"/>
      <c r="H11" s="32">
        <f t="shared" si="0"/>
        <v>106127500</v>
      </c>
      <c r="I11" s="16">
        <f t="shared" si="5"/>
        <v>11674025</v>
      </c>
      <c r="J11" s="47">
        <f t="shared" si="2"/>
        <v>117801525</v>
      </c>
      <c r="K11" s="89"/>
      <c r="L11" s="281">
        <v>45764</v>
      </c>
      <c r="M11" s="240"/>
      <c r="N11" s="197">
        <f t="shared" si="1"/>
        <v>117801525</v>
      </c>
      <c r="P11" s="65">
        <f t="shared" si="4"/>
        <v>0</v>
      </c>
    </row>
    <row r="12" s="1" customFormat="1" ht="17.6" spans="1:16">
      <c r="A12" s="14">
        <v>45733</v>
      </c>
      <c r="B12" s="14" t="s">
        <v>116</v>
      </c>
      <c r="C12" s="15" t="s">
        <v>117</v>
      </c>
      <c r="D12" s="16"/>
      <c r="E12" s="31"/>
      <c r="F12" s="16">
        <v>11700000</v>
      </c>
      <c r="G12" s="31"/>
      <c r="H12" s="32">
        <f t="shared" si="0"/>
        <v>11700000</v>
      </c>
      <c r="I12" s="16">
        <f t="shared" si="5"/>
        <v>1287000</v>
      </c>
      <c r="J12" s="47">
        <f t="shared" si="2"/>
        <v>12987000</v>
      </c>
      <c r="K12" s="89"/>
      <c r="L12" s="279">
        <v>45782</v>
      </c>
      <c r="M12" s="240"/>
      <c r="N12" s="197">
        <f t="shared" si="1"/>
        <v>12987000</v>
      </c>
      <c r="P12" s="65">
        <f t="shared" si="4"/>
        <v>0</v>
      </c>
    </row>
    <row r="13" s="1" customFormat="1" ht="17.6" spans="1:16">
      <c r="A13" s="14">
        <v>45733</v>
      </c>
      <c r="B13" s="14" t="s">
        <v>118</v>
      </c>
      <c r="C13" s="15" t="s">
        <v>42</v>
      </c>
      <c r="D13" s="16"/>
      <c r="E13" s="31"/>
      <c r="F13" s="244">
        <v>58425000</v>
      </c>
      <c r="G13" s="261"/>
      <c r="H13" s="32">
        <f t="shared" si="0"/>
        <v>58425000</v>
      </c>
      <c r="I13" s="16">
        <f t="shared" si="5"/>
        <v>6426750</v>
      </c>
      <c r="J13" s="47">
        <f t="shared" si="2"/>
        <v>64851750</v>
      </c>
      <c r="K13" s="89"/>
      <c r="L13" s="279">
        <v>45777</v>
      </c>
      <c r="M13" s="240"/>
      <c r="N13" s="197">
        <f t="shared" ref="N13:N24" si="6">J13-M13</f>
        <v>64851750</v>
      </c>
      <c r="P13" s="65">
        <f t="shared" si="4"/>
        <v>0</v>
      </c>
    </row>
    <row r="14" s="1" customFormat="1" ht="17.6" spans="1:16">
      <c r="A14" s="14">
        <v>45737</v>
      </c>
      <c r="B14" s="14" t="s">
        <v>119</v>
      </c>
      <c r="C14" s="15" t="s">
        <v>57</v>
      </c>
      <c r="D14" s="16"/>
      <c r="E14" s="31">
        <v>1092500</v>
      </c>
      <c r="F14" s="16"/>
      <c r="G14" s="31"/>
      <c r="H14" s="32">
        <f t="shared" si="0"/>
        <v>1092500</v>
      </c>
      <c r="I14" s="16">
        <f t="shared" si="5"/>
        <v>120175</v>
      </c>
      <c r="J14" s="47">
        <f t="shared" si="2"/>
        <v>1212675</v>
      </c>
      <c r="K14" s="89"/>
      <c r="L14" s="279">
        <v>45772</v>
      </c>
      <c r="M14" s="240"/>
      <c r="N14" s="197">
        <f t="shared" si="6"/>
        <v>1212675</v>
      </c>
      <c r="P14" s="65">
        <f t="shared" si="4"/>
        <v>0</v>
      </c>
    </row>
    <row r="15" s="1" customFormat="1" ht="17.6" spans="1:17">
      <c r="A15" s="14">
        <v>45740</v>
      </c>
      <c r="B15" s="14" t="s">
        <v>120</v>
      </c>
      <c r="C15" s="15" t="s">
        <v>106</v>
      </c>
      <c r="D15" s="16"/>
      <c r="E15" s="31">
        <v>7800000</v>
      </c>
      <c r="F15" s="16"/>
      <c r="G15" s="31"/>
      <c r="H15" s="32">
        <f t="shared" si="0"/>
        <v>7800000</v>
      </c>
      <c r="I15" s="16">
        <f t="shared" si="5"/>
        <v>858000</v>
      </c>
      <c r="J15" s="47">
        <f t="shared" si="2"/>
        <v>8658000</v>
      </c>
      <c r="K15" s="89"/>
      <c r="L15" s="279">
        <v>45772</v>
      </c>
      <c r="M15" s="240"/>
      <c r="N15" s="197">
        <f t="shared" si="6"/>
        <v>8658000</v>
      </c>
      <c r="P15" s="65">
        <f t="shared" si="4"/>
        <v>0</v>
      </c>
      <c r="Q15" s="73"/>
    </row>
    <row r="16" s="1" customFormat="1" ht="17.6" spans="1:16">
      <c r="A16" s="14">
        <v>45741</v>
      </c>
      <c r="B16" s="14" t="s">
        <v>121</v>
      </c>
      <c r="C16" s="15" t="s">
        <v>42</v>
      </c>
      <c r="D16" s="16"/>
      <c r="E16" s="31"/>
      <c r="F16" s="16">
        <v>65300000</v>
      </c>
      <c r="G16" s="31"/>
      <c r="H16" s="32">
        <f t="shared" ref="H16:H18" si="7">SUM(D16:G16)</f>
        <v>65300000</v>
      </c>
      <c r="I16" s="16">
        <f t="shared" si="5"/>
        <v>7183000</v>
      </c>
      <c r="J16" s="47">
        <f t="shared" si="2"/>
        <v>72483000</v>
      </c>
      <c r="K16" s="89"/>
      <c r="L16" s="279">
        <v>45777</v>
      </c>
      <c r="M16" s="240"/>
      <c r="N16" s="197">
        <f t="shared" si="6"/>
        <v>72483000</v>
      </c>
      <c r="P16" s="65">
        <f t="shared" si="4"/>
        <v>0</v>
      </c>
    </row>
    <row r="17" s="1" customFormat="1" ht="17.6" spans="1:16">
      <c r="A17" s="14">
        <v>45741</v>
      </c>
      <c r="B17" s="14" t="s">
        <v>122</v>
      </c>
      <c r="C17" s="15" t="s">
        <v>42</v>
      </c>
      <c r="D17" s="16"/>
      <c r="E17" s="31"/>
      <c r="F17" s="16">
        <v>142500000</v>
      </c>
      <c r="G17" s="31"/>
      <c r="H17" s="32">
        <f t="shared" si="7"/>
        <v>142500000</v>
      </c>
      <c r="I17" s="16">
        <f t="shared" si="5"/>
        <v>15675000</v>
      </c>
      <c r="J17" s="47">
        <f t="shared" si="2"/>
        <v>158175000</v>
      </c>
      <c r="K17" s="89"/>
      <c r="L17" s="279">
        <v>45777</v>
      </c>
      <c r="M17" s="240"/>
      <c r="N17" s="197">
        <f t="shared" si="6"/>
        <v>158175000</v>
      </c>
      <c r="P17" s="65">
        <f t="shared" si="4"/>
        <v>0</v>
      </c>
    </row>
    <row r="18" s="1" customFormat="1" ht="17.6" spans="1:17">
      <c r="A18" s="14">
        <v>45741</v>
      </c>
      <c r="B18" s="14" t="s">
        <v>123</v>
      </c>
      <c r="C18" s="15" t="s">
        <v>42</v>
      </c>
      <c r="D18" s="16"/>
      <c r="E18" s="31"/>
      <c r="F18" s="16">
        <v>630300000</v>
      </c>
      <c r="G18" s="31"/>
      <c r="H18" s="32">
        <f t="shared" si="7"/>
        <v>630300000</v>
      </c>
      <c r="I18" s="16">
        <f t="shared" si="5"/>
        <v>69333000</v>
      </c>
      <c r="J18" s="47">
        <f t="shared" si="2"/>
        <v>699633000</v>
      </c>
      <c r="K18" s="89"/>
      <c r="L18" s="279">
        <v>45777</v>
      </c>
      <c r="M18" s="240"/>
      <c r="N18" s="197">
        <f t="shared" si="6"/>
        <v>699633000</v>
      </c>
      <c r="P18" s="65">
        <f t="shared" si="4"/>
        <v>0</v>
      </c>
      <c r="Q18" s="73"/>
    </row>
    <row r="19" s="1" customFormat="1" ht="17.6" spans="1:16">
      <c r="A19" s="14">
        <v>45741</v>
      </c>
      <c r="B19" s="14" t="s">
        <v>124</v>
      </c>
      <c r="C19" s="15" t="s">
        <v>42</v>
      </c>
      <c r="D19" s="16"/>
      <c r="E19" s="31"/>
      <c r="F19" s="16">
        <v>130600000</v>
      </c>
      <c r="G19" s="31"/>
      <c r="H19" s="32">
        <f t="shared" ref="H19:H24" si="8">SUM(D19:G19)</f>
        <v>130600000</v>
      </c>
      <c r="I19" s="16">
        <f t="shared" ref="I19:I24" si="9">H19*0.11</f>
        <v>14366000</v>
      </c>
      <c r="J19" s="47">
        <f t="shared" ref="J19:J24" si="10">H19+I19</f>
        <v>144966000</v>
      </c>
      <c r="K19" s="89"/>
      <c r="L19" s="279">
        <v>45777</v>
      </c>
      <c r="M19" s="240"/>
      <c r="N19" s="197">
        <f t="shared" si="6"/>
        <v>144966000</v>
      </c>
      <c r="P19" s="65">
        <f t="shared" si="4"/>
        <v>0</v>
      </c>
    </row>
    <row r="20" s="1" customFormat="1" ht="17.6" spans="1:16">
      <c r="A20" s="14">
        <v>45741</v>
      </c>
      <c r="B20" s="14" t="s">
        <v>125</v>
      </c>
      <c r="C20" s="15" t="s">
        <v>42</v>
      </c>
      <c r="D20" s="16"/>
      <c r="E20" s="31"/>
      <c r="F20" s="16">
        <v>496900000</v>
      </c>
      <c r="G20" s="31"/>
      <c r="H20" s="32">
        <f t="shared" si="8"/>
        <v>496900000</v>
      </c>
      <c r="I20" s="16">
        <f t="shared" si="9"/>
        <v>54659000</v>
      </c>
      <c r="J20" s="47">
        <f t="shared" si="10"/>
        <v>551559000</v>
      </c>
      <c r="K20" s="89"/>
      <c r="L20" s="279">
        <v>45777</v>
      </c>
      <c r="M20" s="240"/>
      <c r="N20" s="197">
        <f t="shared" si="6"/>
        <v>551559000</v>
      </c>
      <c r="P20" s="65">
        <f t="shared" si="4"/>
        <v>0</v>
      </c>
    </row>
    <row r="21" s="1" customFormat="1" ht="17.6" spans="1:16">
      <c r="A21" s="14">
        <v>45741</v>
      </c>
      <c r="B21" s="14" t="s">
        <v>126</v>
      </c>
      <c r="C21" s="15" t="s">
        <v>42</v>
      </c>
      <c r="D21" s="16"/>
      <c r="E21" s="31"/>
      <c r="F21" s="16">
        <v>359000000</v>
      </c>
      <c r="G21" s="31"/>
      <c r="H21" s="32">
        <f t="shared" si="8"/>
        <v>359000000</v>
      </c>
      <c r="I21" s="16">
        <f t="shared" si="9"/>
        <v>39490000</v>
      </c>
      <c r="J21" s="47">
        <f t="shared" si="10"/>
        <v>398490000</v>
      </c>
      <c r="K21" s="89"/>
      <c r="L21" s="279">
        <v>45777</v>
      </c>
      <c r="M21" s="240"/>
      <c r="N21" s="197">
        <f t="shared" si="6"/>
        <v>398490000</v>
      </c>
      <c r="P21" s="65">
        <f t="shared" si="4"/>
        <v>0</v>
      </c>
    </row>
    <row r="22" s="1" customFormat="1" ht="17.6" spans="1:16">
      <c r="A22" s="14">
        <v>45741</v>
      </c>
      <c r="B22" s="14" t="s">
        <v>127</v>
      </c>
      <c r="C22" s="15" t="s">
        <v>42</v>
      </c>
      <c r="D22" s="16"/>
      <c r="E22" s="31"/>
      <c r="F22" s="16">
        <v>677000000</v>
      </c>
      <c r="G22" s="31"/>
      <c r="H22" s="32">
        <f t="shared" si="8"/>
        <v>677000000</v>
      </c>
      <c r="I22" s="16">
        <f t="shared" si="9"/>
        <v>74470000</v>
      </c>
      <c r="J22" s="47">
        <f t="shared" si="10"/>
        <v>751470000</v>
      </c>
      <c r="K22" s="89"/>
      <c r="L22" s="279">
        <v>45777</v>
      </c>
      <c r="M22" s="240"/>
      <c r="N22" s="197">
        <f t="shared" si="6"/>
        <v>751470000</v>
      </c>
      <c r="P22" s="65">
        <f t="shared" si="4"/>
        <v>0</v>
      </c>
    </row>
    <row r="23" s="1" customFormat="1" ht="17.6" spans="1:16">
      <c r="A23" s="14">
        <v>45741</v>
      </c>
      <c r="B23" s="14" t="s">
        <v>128</v>
      </c>
      <c r="C23" s="15" t="s">
        <v>42</v>
      </c>
      <c r="D23" s="16"/>
      <c r="E23" s="31"/>
      <c r="F23" s="16">
        <v>171000000</v>
      </c>
      <c r="G23" s="31"/>
      <c r="H23" s="32">
        <f t="shared" si="8"/>
        <v>171000000</v>
      </c>
      <c r="I23" s="16">
        <f t="shared" si="9"/>
        <v>18810000</v>
      </c>
      <c r="J23" s="47">
        <f t="shared" si="10"/>
        <v>189810000</v>
      </c>
      <c r="K23" s="89"/>
      <c r="L23" s="279">
        <v>45777</v>
      </c>
      <c r="M23" s="240"/>
      <c r="N23" s="197">
        <f t="shared" si="6"/>
        <v>189810000</v>
      </c>
      <c r="P23" s="65">
        <f t="shared" si="4"/>
        <v>0</v>
      </c>
    </row>
    <row r="24" s="1" customFormat="1" ht="17.6" spans="1:17">
      <c r="A24" s="14">
        <v>45741</v>
      </c>
      <c r="B24" s="14" t="s">
        <v>129</v>
      </c>
      <c r="C24" s="15" t="s">
        <v>42</v>
      </c>
      <c r="D24" s="16"/>
      <c r="E24" s="31"/>
      <c r="F24" s="16">
        <v>141450000</v>
      </c>
      <c r="G24" s="31"/>
      <c r="H24" s="32">
        <f t="shared" si="8"/>
        <v>141450000</v>
      </c>
      <c r="I24" s="16">
        <f t="shared" si="9"/>
        <v>15559500</v>
      </c>
      <c r="J24" s="47">
        <f t="shared" si="10"/>
        <v>157009500</v>
      </c>
      <c r="K24" s="89"/>
      <c r="L24" s="279">
        <v>45777</v>
      </c>
      <c r="M24" s="240"/>
      <c r="N24" s="197">
        <f t="shared" si="6"/>
        <v>157009500</v>
      </c>
      <c r="P24" s="65">
        <f t="shared" si="4"/>
        <v>0</v>
      </c>
      <c r="Q24" s="73"/>
    </row>
    <row r="25" s="1" customFormat="1" ht="17.6" spans="1:16">
      <c r="A25" s="119"/>
      <c r="B25" s="14"/>
      <c r="C25" s="120"/>
      <c r="D25" s="52"/>
      <c r="E25" s="259"/>
      <c r="F25" s="52"/>
      <c r="G25" s="259"/>
      <c r="H25" s="32">
        <f t="shared" ref="H25" si="11">SUM(D25:G25)</f>
        <v>0</v>
      </c>
      <c r="I25" s="16">
        <f t="shared" si="5"/>
        <v>0</v>
      </c>
      <c r="J25" s="47">
        <f t="shared" si="2"/>
        <v>0</v>
      </c>
      <c r="K25" s="89"/>
      <c r="L25" s="282"/>
      <c r="M25" s="240">
        <f t="shared" ref="M25" si="12">D25*0.02</f>
        <v>0</v>
      </c>
      <c r="N25" s="197"/>
      <c r="P25" s="65">
        <f t="shared" si="4"/>
        <v>0</v>
      </c>
    </row>
    <row r="26" ht="21.75" customHeight="1" spans="1:16">
      <c r="A26" s="22"/>
      <c r="B26" s="22"/>
      <c r="C26" s="23" t="s">
        <v>10</v>
      </c>
      <c r="D26" s="86">
        <f t="shared" ref="D26:J26" si="13">SUM(D5:D25)</f>
        <v>283720000</v>
      </c>
      <c r="E26" s="86">
        <f t="shared" si="13"/>
        <v>251056000</v>
      </c>
      <c r="F26" s="86">
        <f t="shared" si="13"/>
        <v>2936455000</v>
      </c>
      <c r="G26" s="272">
        <f t="shared" si="13"/>
        <v>0</v>
      </c>
      <c r="H26" s="86">
        <f t="shared" si="13"/>
        <v>3471231000</v>
      </c>
      <c r="I26" s="86">
        <f t="shared" si="13"/>
        <v>381835410</v>
      </c>
      <c r="J26" s="86">
        <f t="shared" si="13"/>
        <v>3853066410</v>
      </c>
      <c r="L26" s="86"/>
      <c r="M26" s="86">
        <f>SUM(M5:M25)</f>
        <v>5002000</v>
      </c>
      <c r="N26" s="86">
        <f>SUM(N5:N25)</f>
        <v>3848064410</v>
      </c>
      <c r="P26" s="86">
        <f>SUM(P5:P25)</f>
        <v>0</v>
      </c>
    </row>
    <row r="27" spans="8:8">
      <c r="H27" s="39"/>
    </row>
    <row r="28" spans="7:10">
      <c r="G28" s="139"/>
      <c r="H28" s="94"/>
      <c r="J28" s="57"/>
    </row>
    <row r="29" spans="8:10">
      <c r="H29" s="94"/>
      <c r="J29" s="57">
        <f>J16+J17+J18+J19+J20+J21+J22+J23+J24</f>
        <v>3123595500</v>
      </c>
    </row>
    <row r="30" spans="5:12">
      <c r="E30" s="273"/>
      <c r="G30" s="39"/>
      <c r="H30" s="94"/>
      <c r="I30" s="57"/>
      <c r="J30" s="57">
        <f>J13+J29</f>
        <v>3188447250</v>
      </c>
      <c r="L30" s="57"/>
    </row>
    <row r="31" spans="3:12">
      <c r="C31" s="57"/>
      <c r="E31" s="39"/>
      <c r="G31" s="39"/>
      <c r="H31" s="94"/>
      <c r="J31" s="57"/>
      <c r="L31" s="57"/>
    </row>
    <row r="32" spans="7:8">
      <c r="G32" s="39"/>
      <c r="H32" s="94"/>
    </row>
    <row r="33" spans="7:10">
      <c r="G33" s="39"/>
      <c r="H33" s="94">
        <v>261584485</v>
      </c>
      <c r="J33" s="57"/>
    </row>
    <row r="34" spans="7:8">
      <c r="G34" s="39"/>
      <c r="H34" s="94">
        <f>J7+J9+J11</f>
        <v>261586485</v>
      </c>
    </row>
    <row r="35" spans="7:12">
      <c r="G35" s="39"/>
      <c r="H35" s="94"/>
      <c r="L35" s="57"/>
    </row>
    <row r="36" spans="7:8">
      <c r="G36" s="39"/>
      <c r="H36" s="94"/>
    </row>
    <row r="37" spans="7:12">
      <c r="G37" s="39"/>
      <c r="H37" s="94"/>
      <c r="L37" s="57"/>
    </row>
    <row r="38" spans="7:8">
      <c r="G38" s="39"/>
      <c r="H38" s="94"/>
    </row>
    <row r="39" spans="7:9">
      <c r="G39" s="39"/>
      <c r="I39" s="96"/>
    </row>
    <row r="40" spans="7:7">
      <c r="G40" s="39"/>
    </row>
    <row r="41" spans="7:10">
      <c r="G41" s="39"/>
      <c r="I41" s="57"/>
      <c r="J41" s="96"/>
    </row>
    <row r="42" spans="7:7">
      <c r="G42" s="39"/>
    </row>
    <row r="43" spans="7:7">
      <c r="G43" s="39"/>
    </row>
    <row r="44" spans="7:7">
      <c r="G44" s="39"/>
    </row>
    <row r="45" spans="7:9">
      <c r="G45" s="39"/>
      <c r="I45" s="74"/>
    </row>
  </sheetData>
  <autoFilter xmlns:etc="http://www.wps.cn/officeDocument/2017/etCustomData" ref="C1:C28" etc:filterBottomFollowUsedRange="0">
    <extLst/>
  </autoFilter>
  <mergeCells count="8">
    <mergeCell ref="D3:J3"/>
    <mergeCell ref="A3:A4"/>
    <mergeCell ref="B3:B4"/>
    <mergeCell ref="C3:C4"/>
    <mergeCell ref="L3:L4"/>
    <mergeCell ref="M3:M4"/>
    <mergeCell ref="N3:N4"/>
    <mergeCell ref="P3:P4"/>
  </mergeCells>
  <pageMargins left="0.196850393700787" right="0.196850393700787" top="0.196850393700787" bottom="0.196850393700787" header="0.196850393700787" footer="0.196850393700787"/>
  <pageSetup paperSize="9" scale="80" orientation="landscape" horizontalDpi="360" verticalDpi="36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108"/>
  <sheetViews>
    <sheetView workbookViewId="0">
      <pane ySplit="5" topLeftCell="A28" activePane="bottomLeft" state="frozen"/>
      <selection/>
      <selection pane="bottomLeft" activeCell="C50" sqref="$A1:$XFD1048576"/>
    </sheetView>
  </sheetViews>
  <sheetFormatPr defaultColWidth="9" defaultRowHeight="16.8"/>
  <cols>
    <col min="1" max="1" width="12.2890625" customWidth="1"/>
    <col min="2" max="2" width="18.7109375" customWidth="1"/>
    <col min="3" max="3" width="33.7109375" customWidth="1"/>
    <col min="4" max="4" width="15.4296875" customWidth="1"/>
    <col min="5" max="5" width="14.2890625" customWidth="1"/>
    <col min="6" max="6" width="15.2890625" customWidth="1"/>
    <col min="7" max="7" width="14.140625" customWidth="1"/>
    <col min="8" max="8" width="16.859375" customWidth="1"/>
    <col min="9" max="9" width="13.4296875" customWidth="1"/>
    <col min="10" max="10" width="14.859375" customWidth="1"/>
    <col min="11" max="11" width="4.5703125" customWidth="1"/>
    <col min="12" max="12" width="13.2890625" customWidth="1"/>
    <col min="13" max="13" width="11.2890625" customWidth="1"/>
    <col min="14" max="14" width="13.5703125" customWidth="1"/>
    <col min="15" max="15" width="5.5703125" customWidth="1"/>
    <col min="16" max="16" width="15.7109375" customWidth="1"/>
    <col min="17" max="17" width="17.7109375" customWidth="1"/>
    <col min="18" max="18" width="15.2890625" customWidth="1"/>
  </cols>
  <sheetData>
    <row r="1" ht="17.6" spans="1:7">
      <c r="A1" s="2" t="s">
        <v>130</v>
      </c>
      <c r="B1" s="2"/>
      <c r="C1" s="1"/>
      <c r="D1" s="3"/>
      <c r="E1" s="25"/>
      <c r="F1" s="26"/>
      <c r="G1" s="27"/>
    </row>
    <row r="2" spans="1:10">
      <c r="A2" s="1"/>
      <c r="B2" s="1"/>
      <c r="C2" s="1"/>
      <c r="D2" s="3"/>
      <c r="E2" s="25"/>
      <c r="F2" s="1"/>
      <c r="G2" s="27"/>
      <c r="J2" s="57"/>
    </row>
    <row r="3" spans="1:10">
      <c r="A3" s="4" t="s">
        <v>28</v>
      </c>
      <c r="B3" s="1"/>
      <c r="C3" s="1"/>
      <c r="D3" s="3"/>
      <c r="E3" s="25"/>
      <c r="F3" s="1"/>
      <c r="G3" s="27"/>
      <c r="J3" s="57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L4" s="41" t="s">
        <v>32</v>
      </c>
      <c r="M4" s="41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L5" s="58"/>
      <c r="M5" s="58"/>
      <c r="N5" s="58"/>
      <c r="P5" s="41"/>
    </row>
    <row r="6" s="1" customFormat="1" ht="17.6" spans="1:18">
      <c r="A6" s="256">
        <v>45757</v>
      </c>
      <c r="B6" s="256" t="s">
        <v>131</v>
      </c>
      <c r="C6" s="257" t="s">
        <v>42</v>
      </c>
      <c r="D6" s="258"/>
      <c r="E6" s="258"/>
      <c r="F6" s="258"/>
      <c r="G6" s="258">
        <v>151500000</v>
      </c>
      <c r="H6" s="260">
        <f>SUM(D6:G6)</f>
        <v>151500000</v>
      </c>
      <c r="I6" s="258">
        <f t="shared" ref="I6:I32" si="0">H6*0.11</f>
        <v>16665000</v>
      </c>
      <c r="J6" s="98">
        <f>H6+I6</f>
        <v>168165000</v>
      </c>
      <c r="K6" s="89"/>
      <c r="L6" s="190">
        <v>45792</v>
      </c>
      <c r="M6" s="65">
        <f>G6*0.02</f>
        <v>3030000</v>
      </c>
      <c r="N6" s="258">
        <f t="shared" ref="N6:N17" si="1">J6-M6</f>
        <v>165135000</v>
      </c>
      <c r="P6" s="265">
        <f>J6-M6-N6</f>
        <v>0</v>
      </c>
      <c r="Q6" s="25"/>
      <c r="R6" s="271"/>
    </row>
    <row r="7" s="1" customFormat="1" ht="17.6" spans="1:18">
      <c r="A7" s="14">
        <v>45757</v>
      </c>
      <c r="B7" s="14" t="s">
        <v>132</v>
      </c>
      <c r="C7" s="15" t="s">
        <v>42</v>
      </c>
      <c r="D7" s="16">
        <v>79500000</v>
      </c>
      <c r="E7" s="31"/>
      <c r="F7" s="16"/>
      <c r="G7" s="31"/>
      <c r="H7" s="32">
        <f>SUM(D7:G7)</f>
        <v>79500000</v>
      </c>
      <c r="I7" s="31">
        <f t="shared" si="0"/>
        <v>8745000</v>
      </c>
      <c r="J7" s="47">
        <f t="shared" ref="J7" si="2">H7+I7</f>
        <v>88245000</v>
      </c>
      <c r="K7" s="89"/>
      <c r="L7" s="190">
        <v>45792</v>
      </c>
      <c r="M7" s="65">
        <f>D7*0.02</f>
        <v>1590000</v>
      </c>
      <c r="N7" s="31">
        <f t="shared" si="1"/>
        <v>86655000</v>
      </c>
      <c r="P7" s="266">
        <f>J7-M7-N7</f>
        <v>0</v>
      </c>
      <c r="Q7" s="271"/>
      <c r="R7" s="271"/>
    </row>
    <row r="8" s="1" customFormat="1" ht="17.6" spans="1:17">
      <c r="A8" s="14">
        <v>45757</v>
      </c>
      <c r="B8" s="14" t="s">
        <v>133</v>
      </c>
      <c r="C8" s="15" t="s">
        <v>42</v>
      </c>
      <c r="D8" s="16">
        <v>192700000</v>
      </c>
      <c r="E8" s="31"/>
      <c r="F8" s="16"/>
      <c r="G8" s="31"/>
      <c r="H8" s="32">
        <f t="shared" ref="H8:H53" si="3">SUM(D8:G8)</f>
        <v>192700000</v>
      </c>
      <c r="I8" s="31">
        <f t="shared" si="0"/>
        <v>21197000</v>
      </c>
      <c r="J8" s="47">
        <f t="shared" ref="J8:J53" si="4">H8+I8</f>
        <v>213897000</v>
      </c>
      <c r="K8" s="89"/>
      <c r="L8" s="190">
        <v>45792</v>
      </c>
      <c r="M8" s="197">
        <f>D8*0.02</f>
        <v>3854000</v>
      </c>
      <c r="N8" s="267">
        <f t="shared" si="1"/>
        <v>210043000</v>
      </c>
      <c r="P8" s="266">
        <f>J8-M8-N8</f>
        <v>0</v>
      </c>
      <c r="Q8" s="25"/>
    </row>
    <row r="9" s="1" customFormat="1" ht="17.6" spans="1:16">
      <c r="A9" s="14">
        <v>45757</v>
      </c>
      <c r="B9" s="346" t="s">
        <v>134</v>
      </c>
      <c r="C9" s="15" t="s">
        <v>42</v>
      </c>
      <c r="D9" s="16">
        <v>155900000</v>
      </c>
      <c r="E9" s="31"/>
      <c r="F9" s="16"/>
      <c r="G9" s="31"/>
      <c r="H9" s="32">
        <f t="shared" si="3"/>
        <v>155900000</v>
      </c>
      <c r="I9" s="31">
        <f t="shared" si="0"/>
        <v>17149000</v>
      </c>
      <c r="J9" s="47">
        <f t="shared" si="4"/>
        <v>173049000</v>
      </c>
      <c r="K9" s="89"/>
      <c r="L9" s="190">
        <v>45792</v>
      </c>
      <c r="M9" s="197">
        <f>D9*0.02</f>
        <v>3118000</v>
      </c>
      <c r="N9" s="267">
        <f t="shared" si="1"/>
        <v>169931000</v>
      </c>
      <c r="P9" s="266">
        <f>J9-M9-N9</f>
        <v>0</v>
      </c>
    </row>
    <row r="10" s="1" customFormat="1" ht="17.6" spans="1:18">
      <c r="A10" s="119">
        <v>45757</v>
      </c>
      <c r="B10" s="347" t="s">
        <v>135</v>
      </c>
      <c r="C10" s="120" t="s">
        <v>42</v>
      </c>
      <c r="D10" s="259"/>
      <c r="E10" s="259"/>
      <c r="F10" s="259"/>
      <c r="G10" s="259">
        <v>67000000</v>
      </c>
      <c r="H10" s="32">
        <f t="shared" si="3"/>
        <v>67000000</v>
      </c>
      <c r="I10" s="31">
        <f t="shared" si="0"/>
        <v>7370000</v>
      </c>
      <c r="J10" s="47">
        <f t="shared" si="4"/>
        <v>74370000</v>
      </c>
      <c r="K10" s="89"/>
      <c r="L10" s="190">
        <v>45792</v>
      </c>
      <c r="M10" s="251">
        <f>G10*0.02</f>
        <v>1340000</v>
      </c>
      <c r="N10" s="267">
        <f t="shared" si="1"/>
        <v>73030000</v>
      </c>
      <c r="P10" s="266">
        <f>J10-M10-N10</f>
        <v>0</v>
      </c>
      <c r="Q10" s="73">
        <f>N6+N7+N8+N9+N10+N11+N12+N13+N14+N15+N16+N17+N18+N19+N20+N21+N22+N23+N24</f>
        <v>2323890362.5</v>
      </c>
      <c r="R10" s="271"/>
    </row>
    <row r="11" s="1" customFormat="1" ht="17.6" spans="1:17">
      <c r="A11" s="14">
        <v>45757</v>
      </c>
      <c r="B11" s="119" t="s">
        <v>136</v>
      </c>
      <c r="C11" s="15" t="s">
        <v>42</v>
      </c>
      <c r="D11" s="31">
        <v>96400000</v>
      </c>
      <c r="E11" s="31"/>
      <c r="F11" s="31"/>
      <c r="G11" s="31"/>
      <c r="H11" s="32">
        <f t="shared" si="3"/>
        <v>96400000</v>
      </c>
      <c r="I11" s="31">
        <f t="shared" si="0"/>
        <v>10604000</v>
      </c>
      <c r="J11" s="47">
        <f t="shared" si="4"/>
        <v>107004000</v>
      </c>
      <c r="K11" s="89"/>
      <c r="L11" s="190">
        <v>45792</v>
      </c>
      <c r="M11" s="251">
        <f>D11*0.02</f>
        <v>1928000</v>
      </c>
      <c r="N11" s="267">
        <f t="shared" si="1"/>
        <v>105076000</v>
      </c>
      <c r="P11" s="266">
        <f t="shared" ref="P11:P16" si="5">J11-M11-N11</f>
        <v>0</v>
      </c>
      <c r="Q11" s="73"/>
    </row>
    <row r="12" s="1" customFormat="1" ht="17.6" spans="1:16">
      <c r="A12" s="14">
        <v>45757</v>
      </c>
      <c r="B12" s="14" t="s">
        <v>137</v>
      </c>
      <c r="C12" s="15" t="s">
        <v>42</v>
      </c>
      <c r="D12" s="16">
        <v>78600000</v>
      </c>
      <c r="E12" s="31"/>
      <c r="F12" s="16"/>
      <c r="G12" s="31"/>
      <c r="H12" s="32">
        <f t="shared" si="3"/>
        <v>78600000</v>
      </c>
      <c r="I12" s="31">
        <f t="shared" si="0"/>
        <v>8646000</v>
      </c>
      <c r="J12" s="47">
        <f t="shared" si="4"/>
        <v>87246000</v>
      </c>
      <c r="K12" s="89"/>
      <c r="L12" s="166">
        <v>45792</v>
      </c>
      <c r="M12" s="65">
        <f>D12*0.02</f>
        <v>1572000</v>
      </c>
      <c r="N12" s="267">
        <f t="shared" si="1"/>
        <v>85674000</v>
      </c>
      <c r="P12" s="266">
        <f t="shared" si="5"/>
        <v>0</v>
      </c>
    </row>
    <row r="13" s="1" customFormat="1" ht="17.6" spans="1:17">
      <c r="A13" s="14">
        <v>45757</v>
      </c>
      <c r="B13" s="14" t="s">
        <v>138</v>
      </c>
      <c r="C13" s="15" t="s">
        <v>42</v>
      </c>
      <c r="D13" s="16"/>
      <c r="E13" s="31"/>
      <c r="F13" s="16"/>
      <c r="G13" s="31">
        <v>67000000</v>
      </c>
      <c r="H13" s="32">
        <f t="shared" si="3"/>
        <v>67000000</v>
      </c>
      <c r="I13" s="31">
        <f t="shared" si="0"/>
        <v>7370000</v>
      </c>
      <c r="J13" s="47">
        <f t="shared" si="4"/>
        <v>74370000</v>
      </c>
      <c r="K13" s="89"/>
      <c r="L13" s="166">
        <v>45792</v>
      </c>
      <c r="M13" s="65">
        <f>G13*0.02</f>
        <v>1340000</v>
      </c>
      <c r="N13" s="267">
        <f t="shared" si="1"/>
        <v>73030000</v>
      </c>
      <c r="P13" s="266">
        <f t="shared" si="5"/>
        <v>0</v>
      </c>
      <c r="Q13" s="25"/>
    </row>
    <row r="14" s="1" customFormat="1" ht="17.6" spans="1:16">
      <c r="A14" s="14">
        <v>45757</v>
      </c>
      <c r="B14" s="14" t="s">
        <v>139</v>
      </c>
      <c r="C14" s="15" t="s">
        <v>42</v>
      </c>
      <c r="D14" s="16">
        <v>166800000</v>
      </c>
      <c r="E14" s="31"/>
      <c r="F14" s="16"/>
      <c r="G14" s="31"/>
      <c r="H14" s="32">
        <f t="shared" si="3"/>
        <v>166800000</v>
      </c>
      <c r="I14" s="31">
        <f t="shared" si="0"/>
        <v>18348000</v>
      </c>
      <c r="J14" s="47">
        <f t="shared" si="4"/>
        <v>185148000</v>
      </c>
      <c r="K14" s="89"/>
      <c r="L14" s="190">
        <v>45792</v>
      </c>
      <c r="M14" s="197">
        <f>D14*0.02</f>
        <v>3336000</v>
      </c>
      <c r="N14" s="267">
        <f t="shared" si="1"/>
        <v>181812000</v>
      </c>
      <c r="P14" s="266">
        <f t="shared" si="5"/>
        <v>0</v>
      </c>
    </row>
    <row r="15" s="1" customFormat="1" ht="17.6" spans="1:16">
      <c r="A15" s="14">
        <v>45757</v>
      </c>
      <c r="B15" s="14" t="s">
        <v>140</v>
      </c>
      <c r="C15" s="15" t="s">
        <v>42</v>
      </c>
      <c r="D15" s="16">
        <v>91800000</v>
      </c>
      <c r="E15" s="31"/>
      <c r="F15" s="16"/>
      <c r="G15" s="31"/>
      <c r="H15" s="32">
        <f t="shared" si="3"/>
        <v>91800000</v>
      </c>
      <c r="I15" s="31">
        <f t="shared" si="0"/>
        <v>10098000</v>
      </c>
      <c r="J15" s="47">
        <f t="shared" si="4"/>
        <v>101898000</v>
      </c>
      <c r="K15" s="89"/>
      <c r="L15" s="190">
        <v>45792</v>
      </c>
      <c r="M15" s="197">
        <f>D15*0.02</f>
        <v>1836000</v>
      </c>
      <c r="N15" s="267">
        <f t="shared" si="1"/>
        <v>100062000</v>
      </c>
      <c r="P15" s="266">
        <f t="shared" si="5"/>
        <v>0</v>
      </c>
    </row>
    <row r="16" s="1" customFormat="1" ht="17.6" spans="1:16">
      <c r="A16" s="14">
        <v>45757</v>
      </c>
      <c r="B16" s="14" t="s">
        <v>141</v>
      </c>
      <c r="C16" s="15" t="s">
        <v>42</v>
      </c>
      <c r="D16" s="16">
        <v>80700000</v>
      </c>
      <c r="E16" s="261"/>
      <c r="F16" s="16"/>
      <c r="G16" s="31"/>
      <c r="H16" s="32">
        <f t="shared" si="3"/>
        <v>80700000</v>
      </c>
      <c r="I16" s="31">
        <f t="shared" si="0"/>
        <v>8877000</v>
      </c>
      <c r="J16" s="47">
        <f t="shared" si="4"/>
        <v>89577000</v>
      </c>
      <c r="K16" s="89"/>
      <c r="L16" s="190">
        <v>45792</v>
      </c>
      <c r="M16" s="197">
        <f>D16*0.02</f>
        <v>1614000</v>
      </c>
      <c r="N16" s="267">
        <f t="shared" si="1"/>
        <v>87963000</v>
      </c>
      <c r="P16" s="266">
        <f t="shared" si="5"/>
        <v>0</v>
      </c>
    </row>
    <row r="17" s="1" customFormat="1" ht="17.6" spans="1:17">
      <c r="A17" s="14">
        <v>45756</v>
      </c>
      <c r="B17" s="14" t="s">
        <v>142</v>
      </c>
      <c r="C17" s="15" t="s">
        <v>143</v>
      </c>
      <c r="D17" s="16"/>
      <c r="E17" s="261"/>
      <c r="F17" s="16">
        <v>43050000</v>
      </c>
      <c r="G17" s="31"/>
      <c r="H17" s="32">
        <f t="shared" si="3"/>
        <v>43050000</v>
      </c>
      <c r="I17" s="31">
        <f t="shared" si="0"/>
        <v>4735500</v>
      </c>
      <c r="J17" s="47">
        <f t="shared" si="4"/>
        <v>47785500</v>
      </c>
      <c r="K17" s="89"/>
      <c r="L17" s="190">
        <v>45786</v>
      </c>
      <c r="M17" s="197"/>
      <c r="N17" s="267">
        <f t="shared" si="1"/>
        <v>47785500</v>
      </c>
      <c r="P17" s="266">
        <f t="shared" ref="P17:P53" si="6">J17-M17-N17</f>
        <v>0</v>
      </c>
      <c r="Q17" s="243"/>
    </row>
    <row r="18" s="1" customFormat="1" ht="17.6" spans="1:17">
      <c r="A18" s="14">
        <v>45757</v>
      </c>
      <c r="B18" s="14" t="s">
        <v>144</v>
      </c>
      <c r="C18" s="15" t="s">
        <v>42</v>
      </c>
      <c r="D18" s="16">
        <v>52000000</v>
      </c>
      <c r="E18" s="261"/>
      <c r="F18" s="16"/>
      <c r="G18" s="31"/>
      <c r="H18" s="32">
        <f t="shared" si="3"/>
        <v>52000000</v>
      </c>
      <c r="I18" s="31">
        <f t="shared" si="0"/>
        <v>5720000</v>
      </c>
      <c r="J18" s="47">
        <f t="shared" si="4"/>
        <v>57720000</v>
      </c>
      <c r="K18" s="89"/>
      <c r="L18" s="190">
        <v>45792</v>
      </c>
      <c r="M18" s="197">
        <f>D18*0.02</f>
        <v>1040000</v>
      </c>
      <c r="N18" s="267">
        <f t="shared" ref="N18:N24" si="7">J18-M18</f>
        <v>56680000</v>
      </c>
      <c r="P18" s="266">
        <f t="shared" si="6"/>
        <v>0</v>
      </c>
      <c r="Q18" s="73"/>
    </row>
    <row r="19" s="1" customFormat="1" ht="17.6" spans="1:17">
      <c r="A19" s="14">
        <v>45757</v>
      </c>
      <c r="B19" s="14" t="s">
        <v>145</v>
      </c>
      <c r="C19" s="15" t="s">
        <v>42</v>
      </c>
      <c r="D19" s="16"/>
      <c r="E19" s="261"/>
      <c r="F19" s="16">
        <v>94898750</v>
      </c>
      <c r="G19" s="31"/>
      <c r="H19" s="32">
        <f t="shared" si="3"/>
        <v>94898750</v>
      </c>
      <c r="I19" s="31">
        <f t="shared" si="0"/>
        <v>10438862.5</v>
      </c>
      <c r="J19" s="47">
        <f t="shared" si="4"/>
        <v>105337612.5</v>
      </c>
      <c r="K19" s="89"/>
      <c r="L19" s="190">
        <v>45792</v>
      </c>
      <c r="M19" s="197"/>
      <c r="N19" s="267">
        <f t="shared" si="7"/>
        <v>105337612.5</v>
      </c>
      <c r="P19" s="266">
        <f t="shared" si="6"/>
        <v>0</v>
      </c>
      <c r="Q19" s="73">
        <f>SUM(P6:P16)</f>
        <v>0</v>
      </c>
    </row>
    <row r="20" s="1" customFormat="1" ht="17.6" spans="1:17">
      <c r="A20" s="14">
        <v>45757</v>
      </c>
      <c r="B20" s="14" t="s">
        <v>146</v>
      </c>
      <c r="C20" s="15" t="s">
        <v>42</v>
      </c>
      <c r="D20" s="16"/>
      <c r="E20" s="261"/>
      <c r="F20" s="16">
        <v>108800000</v>
      </c>
      <c r="G20" s="31"/>
      <c r="H20" s="32">
        <f t="shared" si="3"/>
        <v>108800000</v>
      </c>
      <c r="I20" s="31">
        <f t="shared" si="0"/>
        <v>11968000</v>
      </c>
      <c r="J20" s="47">
        <f t="shared" si="4"/>
        <v>120768000</v>
      </c>
      <c r="K20" s="89"/>
      <c r="L20" s="190">
        <v>45792</v>
      </c>
      <c r="M20" s="197"/>
      <c r="N20" s="267">
        <f t="shared" si="7"/>
        <v>120768000</v>
      </c>
      <c r="P20" s="266">
        <f t="shared" si="6"/>
        <v>0</v>
      </c>
      <c r="Q20" s="243">
        <f>SUM(P18:P24)</f>
        <v>0</v>
      </c>
    </row>
    <row r="21" s="1" customFormat="1" ht="17.6" spans="1:17">
      <c r="A21" s="14">
        <v>45757</v>
      </c>
      <c r="B21" s="14" t="s">
        <v>147</v>
      </c>
      <c r="C21" s="15" t="s">
        <v>42</v>
      </c>
      <c r="D21" s="16"/>
      <c r="E21" s="261"/>
      <c r="F21" s="16">
        <v>571435000</v>
      </c>
      <c r="G21" s="31"/>
      <c r="H21" s="32">
        <f t="shared" si="3"/>
        <v>571435000</v>
      </c>
      <c r="I21" s="31">
        <f t="shared" si="0"/>
        <v>62857850</v>
      </c>
      <c r="J21" s="47">
        <f t="shared" si="4"/>
        <v>634292850</v>
      </c>
      <c r="K21" s="89"/>
      <c r="L21" s="190">
        <v>45792</v>
      </c>
      <c r="M21" s="197"/>
      <c r="N21" s="267">
        <f t="shared" si="7"/>
        <v>634292850</v>
      </c>
      <c r="P21" s="266">
        <f t="shared" si="6"/>
        <v>0</v>
      </c>
      <c r="Q21" s="73">
        <f>SUM(Q19:Q20)</f>
        <v>0</v>
      </c>
    </row>
    <row r="22" s="1" customFormat="1" ht="17.6" spans="1:17">
      <c r="A22" s="14">
        <v>45757</v>
      </c>
      <c r="B22" s="14" t="s">
        <v>148</v>
      </c>
      <c r="C22" s="15" t="s">
        <v>42</v>
      </c>
      <c r="D22" s="16">
        <v>12125000</v>
      </c>
      <c r="E22" s="261"/>
      <c r="F22" s="16"/>
      <c r="G22" s="31"/>
      <c r="H22" s="32">
        <f t="shared" si="3"/>
        <v>12125000</v>
      </c>
      <c r="I22" s="31">
        <f t="shared" si="0"/>
        <v>1333750</v>
      </c>
      <c r="J22" s="47">
        <f t="shared" si="4"/>
        <v>13458750</v>
      </c>
      <c r="K22" s="89"/>
      <c r="L22" s="190">
        <v>45792</v>
      </c>
      <c r="M22" s="197">
        <f>D22*0.02</f>
        <v>242500</v>
      </c>
      <c r="N22" s="267">
        <f t="shared" si="7"/>
        <v>13216250</v>
      </c>
      <c r="P22" s="266">
        <f t="shared" si="6"/>
        <v>0</v>
      </c>
      <c r="Q22" s="243"/>
    </row>
    <row r="23" s="1" customFormat="1" ht="17.6" spans="1:17">
      <c r="A23" s="14">
        <v>45757</v>
      </c>
      <c r="B23" s="14" t="s">
        <v>149</v>
      </c>
      <c r="C23" s="15" t="s">
        <v>42</v>
      </c>
      <c r="D23" s="16"/>
      <c r="E23" s="261"/>
      <c r="F23" s="16">
        <v>1265000</v>
      </c>
      <c r="G23" s="31"/>
      <c r="H23" s="32">
        <f t="shared" si="3"/>
        <v>1265000</v>
      </c>
      <c r="I23" s="31">
        <f t="shared" si="0"/>
        <v>139150</v>
      </c>
      <c r="J23" s="47">
        <f t="shared" si="4"/>
        <v>1404150</v>
      </c>
      <c r="K23" s="89"/>
      <c r="L23" s="190">
        <v>45792</v>
      </c>
      <c r="M23" s="197"/>
      <c r="N23" s="267">
        <f t="shared" si="7"/>
        <v>1404150</v>
      </c>
      <c r="P23" s="266">
        <f t="shared" si="6"/>
        <v>0</v>
      </c>
      <c r="Q23" s="73">
        <v>2273923862.5</v>
      </c>
    </row>
    <row r="24" s="1" customFormat="1" ht="17.6" spans="1:17">
      <c r="A24" s="14">
        <v>45757</v>
      </c>
      <c r="B24" s="14" t="s">
        <v>150</v>
      </c>
      <c r="C24" s="15" t="s">
        <v>42</v>
      </c>
      <c r="D24" s="16">
        <v>5500000</v>
      </c>
      <c r="E24" s="261"/>
      <c r="F24" s="16"/>
      <c r="G24" s="31"/>
      <c r="H24" s="32">
        <f t="shared" ref="H24:H39" si="8">SUM(D24:G24)</f>
        <v>5500000</v>
      </c>
      <c r="I24" s="31">
        <f t="shared" si="0"/>
        <v>605000</v>
      </c>
      <c r="J24" s="47">
        <f t="shared" ref="J24:J39" si="9">H24+I24</f>
        <v>6105000</v>
      </c>
      <c r="K24" s="89"/>
      <c r="L24" s="190">
        <v>45792</v>
      </c>
      <c r="M24" s="197">
        <f>D24*0.02</f>
        <v>110000</v>
      </c>
      <c r="N24" s="267">
        <f t="shared" si="7"/>
        <v>5995000</v>
      </c>
      <c r="P24" s="266">
        <f t="shared" si="6"/>
        <v>0</v>
      </c>
      <c r="Q24" s="73">
        <f>Q10-Q23</f>
        <v>49966500</v>
      </c>
    </row>
    <row r="25" s="1" customFormat="1" ht="17.6" spans="1:17">
      <c r="A25" s="14">
        <v>45757</v>
      </c>
      <c r="B25" s="14" t="s">
        <v>151</v>
      </c>
      <c r="C25" s="15" t="s">
        <v>106</v>
      </c>
      <c r="D25" s="16"/>
      <c r="E25" s="261">
        <v>1550000</v>
      </c>
      <c r="F25" s="16"/>
      <c r="G25" s="31"/>
      <c r="H25" s="32">
        <f t="shared" si="8"/>
        <v>1550000</v>
      </c>
      <c r="I25" s="31">
        <f t="shared" si="0"/>
        <v>170500</v>
      </c>
      <c r="J25" s="47">
        <f t="shared" si="9"/>
        <v>1720500</v>
      </c>
      <c r="K25" s="89"/>
      <c r="L25" s="190">
        <v>45818</v>
      </c>
      <c r="M25" s="197"/>
      <c r="N25" s="267">
        <f t="shared" ref="N25:N32" si="10">J25-M25</f>
        <v>1720500</v>
      </c>
      <c r="P25" s="266">
        <f t="shared" si="6"/>
        <v>0</v>
      </c>
      <c r="Q25" s="271"/>
    </row>
    <row r="26" s="1" customFormat="1" ht="17.6" spans="1:17">
      <c r="A26" s="14">
        <v>45757</v>
      </c>
      <c r="B26" s="14" t="s">
        <v>152</v>
      </c>
      <c r="C26" s="15" t="s">
        <v>153</v>
      </c>
      <c r="D26" s="16"/>
      <c r="E26" s="261">
        <v>18390000</v>
      </c>
      <c r="F26" s="16"/>
      <c r="G26" s="31"/>
      <c r="H26" s="32">
        <f t="shared" si="8"/>
        <v>18390000</v>
      </c>
      <c r="I26" s="31">
        <f t="shared" si="0"/>
        <v>2022900</v>
      </c>
      <c r="J26" s="47">
        <f t="shared" si="9"/>
        <v>20412900</v>
      </c>
      <c r="K26" s="89"/>
      <c r="L26" s="190">
        <v>45792</v>
      </c>
      <c r="M26" s="197"/>
      <c r="N26" s="267">
        <f t="shared" si="10"/>
        <v>20412900</v>
      </c>
      <c r="P26" s="266">
        <f t="shared" si="6"/>
        <v>0</v>
      </c>
      <c r="Q26" s="271"/>
    </row>
    <row r="27" s="1" customFormat="1" ht="17.6" spans="1:18">
      <c r="A27" s="14">
        <v>45762</v>
      </c>
      <c r="B27" s="14" t="s">
        <v>154</v>
      </c>
      <c r="C27" s="15" t="s">
        <v>57</v>
      </c>
      <c r="D27" s="16"/>
      <c r="E27" s="261"/>
      <c r="F27" s="16">
        <v>1900000</v>
      </c>
      <c r="G27" s="31"/>
      <c r="H27" s="32">
        <f t="shared" si="8"/>
        <v>1900000</v>
      </c>
      <c r="I27" s="31">
        <f t="shared" si="0"/>
        <v>209000</v>
      </c>
      <c r="J27" s="47">
        <f t="shared" si="9"/>
        <v>2109000</v>
      </c>
      <c r="K27" s="89"/>
      <c r="L27" s="190">
        <v>45793</v>
      </c>
      <c r="M27" s="197"/>
      <c r="N27" s="267">
        <f t="shared" si="10"/>
        <v>2109000</v>
      </c>
      <c r="P27" s="266">
        <f t="shared" si="6"/>
        <v>0</v>
      </c>
      <c r="Q27" s="271"/>
      <c r="R27" s="271"/>
    </row>
    <row r="28" s="1" customFormat="1" ht="17.6" spans="1:17">
      <c r="A28" s="14">
        <v>45762</v>
      </c>
      <c r="B28" s="14" t="s">
        <v>155</v>
      </c>
      <c r="C28" s="15" t="s">
        <v>57</v>
      </c>
      <c r="D28" s="16"/>
      <c r="E28" s="261">
        <v>16444000</v>
      </c>
      <c r="F28" s="16"/>
      <c r="G28" s="31"/>
      <c r="H28" s="32">
        <f t="shared" si="8"/>
        <v>16444000</v>
      </c>
      <c r="I28" s="31">
        <f t="shared" si="0"/>
        <v>1808840</v>
      </c>
      <c r="J28" s="47">
        <f t="shared" si="9"/>
        <v>18252840</v>
      </c>
      <c r="K28" s="89"/>
      <c r="L28" s="190">
        <v>45793</v>
      </c>
      <c r="M28" s="197"/>
      <c r="N28" s="267">
        <f t="shared" si="10"/>
        <v>18252840</v>
      </c>
      <c r="P28" s="266">
        <f t="shared" si="6"/>
        <v>0</v>
      </c>
      <c r="Q28" s="25"/>
    </row>
    <row r="29" s="1" customFormat="1" ht="17.6" spans="1:16">
      <c r="A29" s="14">
        <v>45762</v>
      </c>
      <c r="B29" s="14" t="s">
        <v>156</v>
      </c>
      <c r="C29" s="15" t="s">
        <v>57</v>
      </c>
      <c r="D29" s="16"/>
      <c r="E29" s="261">
        <v>5751500</v>
      </c>
      <c r="F29" s="16"/>
      <c r="G29" s="31"/>
      <c r="H29" s="32">
        <f t="shared" si="8"/>
        <v>5751500</v>
      </c>
      <c r="I29" s="31">
        <f t="shared" si="0"/>
        <v>632665</v>
      </c>
      <c r="J29" s="47">
        <f t="shared" si="9"/>
        <v>6384165</v>
      </c>
      <c r="K29" s="89"/>
      <c r="L29" s="190">
        <v>45793</v>
      </c>
      <c r="M29" s="197"/>
      <c r="N29" s="267">
        <f t="shared" si="10"/>
        <v>6384165</v>
      </c>
      <c r="P29" s="266">
        <f t="shared" si="6"/>
        <v>0</v>
      </c>
    </row>
    <row r="30" s="1" customFormat="1" ht="17.6" spans="1:18">
      <c r="A30" s="14">
        <v>45762</v>
      </c>
      <c r="B30" s="14" t="s">
        <v>157</v>
      </c>
      <c r="C30" s="15" t="s">
        <v>42</v>
      </c>
      <c r="D30" s="16"/>
      <c r="E30" s="261"/>
      <c r="F30" s="16">
        <v>125800000</v>
      </c>
      <c r="G30" s="31"/>
      <c r="H30" s="32">
        <f t="shared" si="8"/>
        <v>125800000</v>
      </c>
      <c r="I30" s="31">
        <f t="shared" si="0"/>
        <v>13838000</v>
      </c>
      <c r="J30" s="47">
        <f t="shared" si="9"/>
        <v>139638000</v>
      </c>
      <c r="K30" s="89"/>
      <c r="L30" s="190">
        <v>45805</v>
      </c>
      <c r="M30" s="197"/>
      <c r="N30" s="267">
        <f t="shared" si="10"/>
        <v>139638000</v>
      </c>
      <c r="P30" s="266">
        <f t="shared" si="6"/>
        <v>0</v>
      </c>
      <c r="Q30" s="25"/>
      <c r="R30" s="271"/>
    </row>
    <row r="31" s="1" customFormat="1" ht="17.6" spans="1:18">
      <c r="A31" s="14">
        <v>45762</v>
      </c>
      <c r="B31" s="14" t="s">
        <v>158</v>
      </c>
      <c r="C31" s="15" t="s">
        <v>57</v>
      </c>
      <c r="D31" s="16">
        <v>135000000</v>
      </c>
      <c r="E31" s="261"/>
      <c r="F31" s="16"/>
      <c r="G31" s="31"/>
      <c r="H31" s="32">
        <f t="shared" si="8"/>
        <v>135000000</v>
      </c>
      <c r="I31" s="31">
        <f t="shared" si="0"/>
        <v>14850000</v>
      </c>
      <c r="J31" s="47">
        <f t="shared" si="9"/>
        <v>149850000</v>
      </c>
      <c r="K31" s="89"/>
      <c r="L31" s="190">
        <v>45793</v>
      </c>
      <c r="M31" s="197">
        <f>(D31*0.02)+2000</f>
        <v>2702000</v>
      </c>
      <c r="N31" s="267">
        <f t="shared" si="10"/>
        <v>147148000</v>
      </c>
      <c r="P31" s="266">
        <f t="shared" si="6"/>
        <v>0</v>
      </c>
      <c r="Q31" s="271"/>
      <c r="R31" s="1" t="s">
        <v>21</v>
      </c>
    </row>
    <row r="32" s="1" customFormat="1" ht="17.6" spans="1:16">
      <c r="A32" s="14">
        <v>45762</v>
      </c>
      <c r="B32" s="14" t="s">
        <v>159</v>
      </c>
      <c r="C32" s="15" t="s">
        <v>160</v>
      </c>
      <c r="D32" s="16"/>
      <c r="E32" s="261"/>
      <c r="F32" s="16">
        <v>5150000</v>
      </c>
      <c r="G32" s="31"/>
      <c r="H32" s="32">
        <f t="shared" si="8"/>
        <v>5150000</v>
      </c>
      <c r="I32" s="31">
        <f t="shared" si="0"/>
        <v>566500</v>
      </c>
      <c r="J32" s="47">
        <f t="shared" si="9"/>
        <v>5716500</v>
      </c>
      <c r="K32" s="89"/>
      <c r="L32" s="190">
        <v>45758</v>
      </c>
      <c r="M32" s="197"/>
      <c r="N32" s="267">
        <f t="shared" si="10"/>
        <v>5716500</v>
      </c>
      <c r="P32" s="266">
        <f t="shared" si="6"/>
        <v>0</v>
      </c>
    </row>
    <row r="33" s="1" customFormat="1" ht="17.6" spans="1:16">
      <c r="A33" s="14">
        <v>45762</v>
      </c>
      <c r="B33" s="14" t="s">
        <v>161</v>
      </c>
      <c r="C33" s="15" t="s">
        <v>98</v>
      </c>
      <c r="D33" s="16"/>
      <c r="E33" s="261">
        <v>33150000</v>
      </c>
      <c r="F33" s="16"/>
      <c r="G33" s="31"/>
      <c r="H33" s="32">
        <f t="shared" si="8"/>
        <v>33150000</v>
      </c>
      <c r="I33" s="31">
        <f t="shared" ref="I33:I53" si="11">H33*0.11</f>
        <v>3646500</v>
      </c>
      <c r="J33" s="47">
        <f t="shared" si="9"/>
        <v>36796500</v>
      </c>
      <c r="K33" s="89"/>
      <c r="L33" s="190">
        <v>45838</v>
      </c>
      <c r="M33" s="197"/>
      <c r="N33" s="267">
        <f t="shared" ref="N33:N39" si="12">J33-M33</f>
        <v>36796500</v>
      </c>
      <c r="P33" s="266">
        <f t="shared" si="6"/>
        <v>0</v>
      </c>
    </row>
    <row r="34" s="1" customFormat="1" ht="17.6" spans="1:17">
      <c r="A34" s="14">
        <v>45762</v>
      </c>
      <c r="B34" s="14" t="s">
        <v>162</v>
      </c>
      <c r="C34" s="15" t="s">
        <v>52</v>
      </c>
      <c r="D34" s="16"/>
      <c r="E34" s="261"/>
      <c r="F34" s="16">
        <v>35625000</v>
      </c>
      <c r="G34" s="31"/>
      <c r="H34" s="32">
        <f t="shared" si="8"/>
        <v>35625000</v>
      </c>
      <c r="I34" s="31">
        <f t="shared" si="11"/>
        <v>3918750</v>
      </c>
      <c r="J34" s="47">
        <f t="shared" si="9"/>
        <v>39543750</v>
      </c>
      <c r="K34" s="89"/>
      <c r="L34" s="190">
        <v>45805</v>
      </c>
      <c r="M34" s="197"/>
      <c r="N34" s="267">
        <f t="shared" si="12"/>
        <v>39543750</v>
      </c>
      <c r="P34" s="266">
        <f t="shared" si="6"/>
        <v>0</v>
      </c>
      <c r="Q34" s="243"/>
    </row>
    <row r="35" s="1" customFormat="1" ht="17.6" spans="1:17">
      <c r="A35" s="14">
        <v>45762</v>
      </c>
      <c r="B35" s="14" t="s">
        <v>163</v>
      </c>
      <c r="C35" s="15" t="s">
        <v>164</v>
      </c>
      <c r="D35" s="16">
        <v>40125000</v>
      </c>
      <c r="E35" s="261"/>
      <c r="F35" s="16"/>
      <c r="G35" s="31"/>
      <c r="H35" s="32">
        <f t="shared" si="8"/>
        <v>40125000</v>
      </c>
      <c r="I35" s="31">
        <f t="shared" si="11"/>
        <v>4413750</v>
      </c>
      <c r="J35" s="47">
        <f t="shared" si="9"/>
        <v>44538750</v>
      </c>
      <c r="K35" s="89"/>
      <c r="L35" s="190">
        <v>45812</v>
      </c>
      <c r="M35" s="197">
        <f>D35*0.02</f>
        <v>802500</v>
      </c>
      <c r="N35" s="267">
        <f t="shared" si="12"/>
        <v>43736250</v>
      </c>
      <c r="P35" s="266">
        <f t="shared" si="6"/>
        <v>0</v>
      </c>
      <c r="Q35" s="25"/>
    </row>
    <row r="36" s="1" customFormat="1" ht="17.6" spans="1:16">
      <c r="A36" s="14">
        <v>45762</v>
      </c>
      <c r="B36" s="14" t="s">
        <v>165</v>
      </c>
      <c r="C36" s="15" t="s">
        <v>164</v>
      </c>
      <c r="D36" s="16">
        <v>14500000</v>
      </c>
      <c r="E36" s="261"/>
      <c r="F36" s="16"/>
      <c r="G36" s="31"/>
      <c r="H36" s="32">
        <f t="shared" si="8"/>
        <v>14500000</v>
      </c>
      <c r="I36" s="31">
        <f t="shared" si="11"/>
        <v>1595000</v>
      </c>
      <c r="J36" s="47">
        <f t="shared" si="9"/>
        <v>16095000</v>
      </c>
      <c r="K36" s="89"/>
      <c r="L36" s="190">
        <v>45812</v>
      </c>
      <c r="M36" s="197">
        <f>D36*0.02</f>
        <v>290000</v>
      </c>
      <c r="N36" s="267">
        <f t="shared" si="12"/>
        <v>15805000</v>
      </c>
      <c r="P36" s="266">
        <f t="shared" si="6"/>
        <v>0</v>
      </c>
    </row>
    <row r="37" s="1" customFormat="1" ht="17.6" spans="1:17">
      <c r="A37" s="14">
        <v>45764</v>
      </c>
      <c r="B37" s="14" t="s">
        <v>166</v>
      </c>
      <c r="C37" s="15" t="s">
        <v>167</v>
      </c>
      <c r="D37" s="16"/>
      <c r="E37" s="261">
        <v>20300000</v>
      </c>
      <c r="F37" s="16"/>
      <c r="G37" s="31"/>
      <c r="H37" s="32">
        <f t="shared" si="8"/>
        <v>20300000</v>
      </c>
      <c r="I37" s="31">
        <f t="shared" si="11"/>
        <v>2233000</v>
      </c>
      <c r="J37" s="47">
        <f t="shared" si="9"/>
        <v>22533000</v>
      </c>
      <c r="K37" s="89"/>
      <c r="L37" s="190">
        <v>45791</v>
      </c>
      <c r="M37" s="197"/>
      <c r="N37" s="267">
        <f t="shared" si="12"/>
        <v>22533000</v>
      </c>
      <c r="P37" s="266">
        <f t="shared" si="6"/>
        <v>0</v>
      </c>
      <c r="Q37" s="73"/>
    </row>
    <row r="38" s="1" customFormat="1" ht="17.6" spans="1:18">
      <c r="A38" s="14">
        <v>45763</v>
      </c>
      <c r="B38" s="14" t="s">
        <v>168</v>
      </c>
      <c r="C38" s="15" t="s">
        <v>169</v>
      </c>
      <c r="D38" s="16"/>
      <c r="E38" s="261"/>
      <c r="F38" s="16">
        <v>17550000</v>
      </c>
      <c r="G38" s="31"/>
      <c r="H38" s="32">
        <f t="shared" si="8"/>
        <v>17550000</v>
      </c>
      <c r="I38" s="31">
        <f t="shared" si="11"/>
        <v>1930500</v>
      </c>
      <c r="J38" s="47">
        <f t="shared" si="9"/>
        <v>19480500</v>
      </c>
      <c r="K38" s="89"/>
      <c r="L38" s="190">
        <v>45791</v>
      </c>
      <c r="M38" s="197"/>
      <c r="N38" s="267">
        <f t="shared" si="12"/>
        <v>19480500</v>
      </c>
      <c r="P38" s="266">
        <f t="shared" si="6"/>
        <v>0</v>
      </c>
      <c r="R38" s="271"/>
    </row>
    <row r="39" s="1" customFormat="1" ht="17.6" spans="1:18">
      <c r="A39" s="14">
        <v>45763</v>
      </c>
      <c r="B39" s="14" t="s">
        <v>170</v>
      </c>
      <c r="C39" s="15" t="s">
        <v>160</v>
      </c>
      <c r="D39" s="16">
        <v>4250000</v>
      </c>
      <c r="E39" s="261"/>
      <c r="F39" s="16"/>
      <c r="G39" s="31"/>
      <c r="H39" s="32">
        <f t="shared" si="8"/>
        <v>4250000</v>
      </c>
      <c r="I39" s="31">
        <f t="shared" si="11"/>
        <v>467500</v>
      </c>
      <c r="J39" s="47">
        <f t="shared" si="9"/>
        <v>4717500</v>
      </c>
      <c r="K39" s="89"/>
      <c r="L39" s="190">
        <v>45758</v>
      </c>
      <c r="M39" s="197">
        <f>D39*0.02</f>
        <v>85000</v>
      </c>
      <c r="N39" s="267">
        <f t="shared" si="12"/>
        <v>4632500</v>
      </c>
      <c r="P39" s="266">
        <f t="shared" si="6"/>
        <v>0</v>
      </c>
      <c r="Q39" s="271"/>
      <c r="R39" s="271"/>
    </row>
    <row r="40" s="1" customFormat="1" ht="17.6" spans="1:18">
      <c r="A40" s="14">
        <v>45763</v>
      </c>
      <c r="B40" s="14" t="s">
        <v>171</v>
      </c>
      <c r="C40" s="15" t="s">
        <v>172</v>
      </c>
      <c r="D40" s="16"/>
      <c r="E40" s="261">
        <v>18914000</v>
      </c>
      <c r="F40" s="16"/>
      <c r="G40" s="31"/>
      <c r="H40" s="32">
        <f t="shared" ref="H40:H51" si="13">SUM(D40:G40)</f>
        <v>18914000</v>
      </c>
      <c r="I40" s="31">
        <f t="shared" ref="I40:I51" si="14">H40*0.11</f>
        <v>2080540</v>
      </c>
      <c r="J40" s="47">
        <f t="shared" ref="J40:J51" si="15">H40+I40</f>
        <v>20994540</v>
      </c>
      <c r="K40" s="89"/>
      <c r="L40" s="190">
        <v>45763</v>
      </c>
      <c r="M40" s="197"/>
      <c r="N40" s="267">
        <f t="shared" ref="N40:N52" si="16">J40-M40</f>
        <v>20994540</v>
      </c>
      <c r="P40" s="266">
        <f t="shared" si="6"/>
        <v>0</v>
      </c>
      <c r="R40" s="271"/>
    </row>
    <row r="41" s="1" customFormat="1" ht="17.6" spans="1:18">
      <c r="A41" s="14">
        <v>45764</v>
      </c>
      <c r="B41" s="14" t="s">
        <v>173</v>
      </c>
      <c r="C41" s="15" t="s">
        <v>98</v>
      </c>
      <c r="D41" s="16"/>
      <c r="E41" s="261">
        <v>153000000</v>
      </c>
      <c r="F41" s="16"/>
      <c r="G41" s="31"/>
      <c r="H41" s="32">
        <f t="shared" si="13"/>
        <v>153000000</v>
      </c>
      <c r="I41" s="31">
        <f t="shared" si="14"/>
        <v>16830000</v>
      </c>
      <c r="J41" s="47">
        <f t="shared" si="15"/>
        <v>169830000</v>
      </c>
      <c r="K41" s="89"/>
      <c r="L41" s="190">
        <v>45838</v>
      </c>
      <c r="M41" s="197"/>
      <c r="N41" s="267">
        <f t="shared" si="16"/>
        <v>169830000</v>
      </c>
      <c r="P41" s="266">
        <f t="shared" si="6"/>
        <v>0</v>
      </c>
      <c r="R41" s="271"/>
    </row>
    <row r="42" s="1" customFormat="1" ht="17.6" spans="1:18">
      <c r="A42" s="14">
        <v>45764</v>
      </c>
      <c r="B42" s="14" t="s">
        <v>174</v>
      </c>
      <c r="C42" s="15" t="s">
        <v>98</v>
      </c>
      <c r="D42" s="16"/>
      <c r="E42" s="261">
        <v>35150000</v>
      </c>
      <c r="F42" s="16"/>
      <c r="G42" s="31"/>
      <c r="H42" s="32">
        <f t="shared" si="13"/>
        <v>35150000</v>
      </c>
      <c r="I42" s="31">
        <f t="shared" si="14"/>
        <v>3866500</v>
      </c>
      <c r="J42" s="47">
        <f t="shared" si="15"/>
        <v>39016500</v>
      </c>
      <c r="K42" s="89"/>
      <c r="L42" s="190">
        <v>45838</v>
      </c>
      <c r="M42" s="197"/>
      <c r="N42" s="267">
        <f t="shared" si="16"/>
        <v>39016500</v>
      </c>
      <c r="P42" s="266">
        <f t="shared" si="6"/>
        <v>0</v>
      </c>
      <c r="Q42" s="25"/>
      <c r="R42" s="271"/>
    </row>
    <row r="43" s="1" customFormat="1" ht="17.6" spans="1:18">
      <c r="A43" s="14">
        <v>45764</v>
      </c>
      <c r="B43" s="14" t="s">
        <v>175</v>
      </c>
      <c r="C43" s="15" t="s">
        <v>42</v>
      </c>
      <c r="D43" s="16">
        <v>7125000</v>
      </c>
      <c r="E43" s="261"/>
      <c r="F43" s="16"/>
      <c r="G43" s="31"/>
      <c r="H43" s="32">
        <f t="shared" si="13"/>
        <v>7125000</v>
      </c>
      <c r="I43" s="31">
        <f t="shared" si="14"/>
        <v>783750</v>
      </c>
      <c r="J43" s="47">
        <f t="shared" si="15"/>
        <v>7908750</v>
      </c>
      <c r="K43" s="89"/>
      <c r="L43" s="190">
        <v>45805</v>
      </c>
      <c r="M43" s="197"/>
      <c r="N43" s="267">
        <f t="shared" si="16"/>
        <v>7908750</v>
      </c>
      <c r="P43" s="266">
        <f t="shared" si="6"/>
        <v>0</v>
      </c>
      <c r="R43" s="271"/>
    </row>
    <row r="44" s="1" customFormat="1" ht="17.6" spans="1:18">
      <c r="A44" s="14">
        <v>45764</v>
      </c>
      <c r="B44" s="14" t="s">
        <v>176</v>
      </c>
      <c r="C44" s="15" t="s">
        <v>42</v>
      </c>
      <c r="D44" s="16">
        <v>40000000</v>
      </c>
      <c r="E44" s="261"/>
      <c r="F44" s="16"/>
      <c r="G44" s="31"/>
      <c r="H44" s="32">
        <f t="shared" si="13"/>
        <v>40000000</v>
      </c>
      <c r="I44" s="31">
        <f t="shared" si="14"/>
        <v>4400000</v>
      </c>
      <c r="J44" s="47">
        <f t="shared" si="15"/>
        <v>44400000</v>
      </c>
      <c r="K44" s="89"/>
      <c r="L44" s="190">
        <v>45805</v>
      </c>
      <c r="M44" s="197">
        <f>D44*0.02</f>
        <v>800000</v>
      </c>
      <c r="N44" s="267">
        <f t="shared" si="16"/>
        <v>43600000</v>
      </c>
      <c r="P44" s="266">
        <f t="shared" si="6"/>
        <v>0</v>
      </c>
      <c r="R44" s="271"/>
    </row>
    <row r="45" s="1" customFormat="1" ht="17.6" spans="1:18">
      <c r="A45" s="14">
        <v>45768</v>
      </c>
      <c r="B45" s="14" t="s">
        <v>177</v>
      </c>
      <c r="C45" s="15" t="s">
        <v>42</v>
      </c>
      <c r="D45" s="16"/>
      <c r="E45" s="261"/>
      <c r="F45" s="16"/>
      <c r="G45" s="31">
        <v>24800000</v>
      </c>
      <c r="H45" s="32">
        <f t="shared" si="13"/>
        <v>24800000</v>
      </c>
      <c r="I45" s="31">
        <f t="shared" si="14"/>
        <v>2728000</v>
      </c>
      <c r="J45" s="47">
        <f t="shared" si="15"/>
        <v>27528000</v>
      </c>
      <c r="K45" s="89"/>
      <c r="L45" s="190">
        <v>45805</v>
      </c>
      <c r="M45" s="197">
        <f>G45*0.02</f>
        <v>496000</v>
      </c>
      <c r="N45" s="267">
        <f t="shared" si="16"/>
        <v>27032000</v>
      </c>
      <c r="P45" s="266">
        <f t="shared" si="6"/>
        <v>0</v>
      </c>
      <c r="R45" s="271"/>
    </row>
    <row r="46" s="1" customFormat="1" ht="17.6" spans="1:18">
      <c r="A46" s="14">
        <v>45768</v>
      </c>
      <c r="B46" s="14" t="s">
        <v>178</v>
      </c>
      <c r="C46" s="15" t="s">
        <v>179</v>
      </c>
      <c r="D46" s="16"/>
      <c r="E46" s="261"/>
      <c r="F46" s="16">
        <v>34133580</v>
      </c>
      <c r="G46" s="31"/>
      <c r="H46" s="32">
        <f t="shared" si="13"/>
        <v>34133580</v>
      </c>
      <c r="I46" s="31">
        <f t="shared" si="14"/>
        <v>3754693.8</v>
      </c>
      <c r="J46" s="47">
        <f t="shared" si="15"/>
        <v>37888273.8</v>
      </c>
      <c r="K46" s="89"/>
      <c r="L46" s="190">
        <v>45768</v>
      </c>
      <c r="M46" s="197"/>
      <c r="N46" s="267">
        <f t="shared" si="16"/>
        <v>37888273.8</v>
      </c>
      <c r="P46" s="266">
        <f t="shared" si="6"/>
        <v>0</v>
      </c>
      <c r="R46" s="271"/>
    </row>
    <row r="47" s="1" customFormat="1" ht="17.6" spans="1:18">
      <c r="A47" s="14">
        <v>45768</v>
      </c>
      <c r="B47" s="14" t="s">
        <v>180</v>
      </c>
      <c r="C47" s="15" t="s">
        <v>179</v>
      </c>
      <c r="D47" s="16">
        <v>53508000</v>
      </c>
      <c r="E47" s="261"/>
      <c r="F47" s="16"/>
      <c r="G47" s="31"/>
      <c r="H47" s="32">
        <f t="shared" si="13"/>
        <v>53508000</v>
      </c>
      <c r="I47" s="31">
        <f t="shared" si="14"/>
        <v>5885880</v>
      </c>
      <c r="J47" s="47">
        <f t="shared" si="15"/>
        <v>59393880</v>
      </c>
      <c r="K47" s="89"/>
      <c r="L47" s="190">
        <v>45768</v>
      </c>
      <c r="M47" s="197">
        <f>D47*0.02</f>
        <v>1070160</v>
      </c>
      <c r="N47" s="267">
        <f t="shared" si="16"/>
        <v>58323720</v>
      </c>
      <c r="P47" s="266">
        <f t="shared" si="6"/>
        <v>0</v>
      </c>
      <c r="R47" s="271"/>
    </row>
    <row r="48" s="1" customFormat="1" ht="17.6" spans="1:18">
      <c r="A48" s="14">
        <v>45769</v>
      </c>
      <c r="B48" s="14" t="s">
        <v>181</v>
      </c>
      <c r="C48" s="15" t="s">
        <v>42</v>
      </c>
      <c r="D48" s="16"/>
      <c r="E48" s="261"/>
      <c r="F48" s="16">
        <v>14250000</v>
      </c>
      <c r="G48" s="31"/>
      <c r="H48" s="32">
        <f t="shared" si="13"/>
        <v>14250000</v>
      </c>
      <c r="I48" s="31">
        <f t="shared" si="14"/>
        <v>1567500</v>
      </c>
      <c r="J48" s="47">
        <f t="shared" si="15"/>
        <v>15817500</v>
      </c>
      <c r="K48" s="89"/>
      <c r="L48" s="190">
        <v>45805</v>
      </c>
      <c r="M48" s="197"/>
      <c r="N48" s="267">
        <f t="shared" si="16"/>
        <v>15817500</v>
      </c>
      <c r="P48" s="266">
        <f t="shared" si="6"/>
        <v>0</v>
      </c>
      <c r="R48" s="271"/>
    </row>
    <row r="49" s="1" customFormat="1" ht="17.6" spans="1:18">
      <c r="A49" s="14">
        <v>45770</v>
      </c>
      <c r="B49" s="14" t="s">
        <v>182</v>
      </c>
      <c r="C49" s="15" t="s">
        <v>57</v>
      </c>
      <c r="D49" s="16"/>
      <c r="E49" s="261">
        <v>2180000</v>
      </c>
      <c r="F49" s="16"/>
      <c r="G49" s="31"/>
      <c r="H49" s="32">
        <f t="shared" si="13"/>
        <v>2180000</v>
      </c>
      <c r="I49" s="31">
        <f t="shared" si="14"/>
        <v>239800</v>
      </c>
      <c r="J49" s="47">
        <f t="shared" si="15"/>
        <v>2419800</v>
      </c>
      <c r="K49" s="89"/>
      <c r="L49" s="190">
        <v>45800</v>
      </c>
      <c r="M49" s="197"/>
      <c r="N49" s="267">
        <f t="shared" si="16"/>
        <v>2419800</v>
      </c>
      <c r="P49" s="266">
        <f t="shared" si="6"/>
        <v>0</v>
      </c>
      <c r="R49" s="271"/>
    </row>
    <row r="50" s="1" customFormat="1" ht="17.6" spans="1:18">
      <c r="A50" s="14">
        <v>45777</v>
      </c>
      <c r="B50" s="14" t="s">
        <v>183</v>
      </c>
      <c r="C50" s="15" t="s">
        <v>42</v>
      </c>
      <c r="D50" s="16"/>
      <c r="E50" s="261"/>
      <c r="F50" s="16">
        <v>39400000</v>
      </c>
      <c r="G50" s="31"/>
      <c r="H50" s="32">
        <f t="shared" si="13"/>
        <v>39400000</v>
      </c>
      <c r="I50" s="31">
        <f t="shared" si="14"/>
        <v>4334000</v>
      </c>
      <c r="J50" s="47">
        <f t="shared" si="15"/>
        <v>43734000</v>
      </c>
      <c r="K50" s="89"/>
      <c r="L50" s="190">
        <v>45805</v>
      </c>
      <c r="M50" s="197"/>
      <c r="N50" s="267">
        <f t="shared" si="16"/>
        <v>43734000</v>
      </c>
      <c r="P50" s="266">
        <f t="shared" si="6"/>
        <v>0</v>
      </c>
      <c r="R50" s="271"/>
    </row>
    <row r="51" s="1" customFormat="1" ht="17.6" spans="1:18">
      <c r="A51" s="14"/>
      <c r="B51" s="14"/>
      <c r="C51" s="15"/>
      <c r="D51" s="16"/>
      <c r="E51" s="261"/>
      <c r="F51" s="16"/>
      <c r="G51" s="31"/>
      <c r="H51" s="32">
        <f t="shared" si="13"/>
        <v>0</v>
      </c>
      <c r="I51" s="31">
        <f t="shared" si="14"/>
        <v>0</v>
      </c>
      <c r="J51" s="47">
        <f t="shared" si="15"/>
        <v>0</v>
      </c>
      <c r="K51" s="89"/>
      <c r="L51" s="190"/>
      <c r="M51" s="197"/>
      <c r="N51" s="267">
        <f t="shared" si="16"/>
        <v>0</v>
      </c>
      <c r="P51" s="266">
        <f t="shared" si="6"/>
        <v>0</v>
      </c>
      <c r="R51" s="271"/>
    </row>
    <row r="52" s="1" customFormat="1" ht="17.6" spans="1:16">
      <c r="A52" s="14"/>
      <c r="B52" s="14"/>
      <c r="C52" s="15"/>
      <c r="D52" s="16"/>
      <c r="E52" s="31"/>
      <c r="F52" s="16"/>
      <c r="G52" s="31"/>
      <c r="H52" s="32">
        <f t="shared" si="3"/>
        <v>0</v>
      </c>
      <c r="I52" s="31">
        <f t="shared" si="11"/>
        <v>0</v>
      </c>
      <c r="J52" s="47">
        <f t="shared" si="4"/>
        <v>0</v>
      </c>
      <c r="K52" s="89"/>
      <c r="L52" s="190"/>
      <c r="M52" s="268"/>
      <c r="N52" s="267">
        <f t="shared" si="16"/>
        <v>0</v>
      </c>
      <c r="P52" s="266">
        <f t="shared" si="6"/>
        <v>0</v>
      </c>
    </row>
    <row r="53" s="1" customFormat="1" ht="17.6" spans="1:18">
      <c r="A53" s="19"/>
      <c r="B53" s="19"/>
      <c r="C53" s="20"/>
      <c r="D53" s="21"/>
      <c r="E53" s="36"/>
      <c r="F53" s="21"/>
      <c r="G53" s="36"/>
      <c r="H53" s="37">
        <f t="shared" si="3"/>
        <v>0</v>
      </c>
      <c r="I53" s="259">
        <f t="shared" si="11"/>
        <v>0</v>
      </c>
      <c r="J53" s="262">
        <f t="shared" si="4"/>
        <v>0</v>
      </c>
      <c r="K53" s="263"/>
      <c r="L53" s="264"/>
      <c r="M53" s="269"/>
      <c r="N53" s="270">
        <f t="shared" ref="N53" si="17">J53-M53</f>
        <v>0</v>
      </c>
      <c r="P53" s="266">
        <f t="shared" si="6"/>
        <v>0</v>
      </c>
      <c r="R53" s="271"/>
    </row>
    <row r="54" ht="21.75" customHeight="1" spans="1:16">
      <c r="A54" s="22"/>
      <c r="B54" s="22"/>
      <c r="C54" s="23" t="s">
        <v>10</v>
      </c>
      <c r="D54" s="86">
        <f t="shared" ref="D54:J54" si="18">SUM(D6:D53)</f>
        <v>1306533000</v>
      </c>
      <c r="E54" s="86">
        <f t="shared" si="18"/>
        <v>304829500</v>
      </c>
      <c r="F54" s="86">
        <f t="shared" si="18"/>
        <v>1093257330</v>
      </c>
      <c r="G54" s="86">
        <f t="shared" si="18"/>
        <v>310300000</v>
      </c>
      <c r="H54" s="93">
        <f t="shared" si="18"/>
        <v>3014919830</v>
      </c>
      <c r="I54" s="93">
        <f t="shared" si="18"/>
        <v>331641181.3</v>
      </c>
      <c r="J54" s="93">
        <f t="shared" si="18"/>
        <v>3346561011.3</v>
      </c>
      <c r="L54" s="86"/>
      <c r="M54" s="86">
        <f>SUM(M6:M53)</f>
        <v>32196160</v>
      </c>
      <c r="N54" s="93">
        <f>SUM(N6:N53)</f>
        <v>3314364851.3</v>
      </c>
      <c r="P54" s="93">
        <f>SUM(P6:P53)</f>
        <v>0</v>
      </c>
    </row>
    <row r="55" spans="8:10">
      <c r="H55" s="39"/>
      <c r="J55" s="57"/>
    </row>
    <row r="56" spans="5:12">
      <c r="E56" s="57"/>
      <c r="G56" s="139"/>
      <c r="H56" s="94"/>
      <c r="I56">
        <v>285507208</v>
      </c>
      <c r="J56" s="94"/>
      <c r="L56" s="57"/>
    </row>
    <row r="57" spans="8:14">
      <c r="H57" s="94"/>
      <c r="I57" s="57">
        <f>I54-I56</f>
        <v>46133973.3</v>
      </c>
      <c r="N57" s="57"/>
    </row>
    <row r="58" spans="8:14">
      <c r="H58" s="94"/>
      <c r="J58" s="57"/>
      <c r="N58" s="57"/>
    </row>
    <row r="59" spans="8:12">
      <c r="H59" s="94"/>
      <c r="J59" s="96"/>
      <c r="L59" s="94"/>
    </row>
    <row r="60" spans="7:14">
      <c r="G60" s="57"/>
      <c r="H60" s="94"/>
      <c r="J60" s="94"/>
      <c r="N60" s="57"/>
    </row>
    <row r="61" spans="8:8">
      <c r="H61" s="94"/>
    </row>
    <row r="62" spans="8:10">
      <c r="H62" s="94"/>
      <c r="J62" s="57"/>
    </row>
    <row r="63" spans="8:8">
      <c r="H63" s="94"/>
    </row>
    <row r="64" spans="8:10">
      <c r="H64" s="94"/>
      <c r="J64" s="96"/>
    </row>
    <row r="65" spans="8:8">
      <c r="H65" s="94"/>
    </row>
    <row r="66" spans="8:8">
      <c r="H66" s="94"/>
    </row>
    <row r="67" spans="8:8">
      <c r="H67" s="94"/>
    </row>
    <row r="68" spans="8:8">
      <c r="H68" s="94"/>
    </row>
    <row r="69" spans="8:8">
      <c r="H69" s="94"/>
    </row>
    <row r="70" spans="8:8">
      <c r="H70" s="94"/>
    </row>
    <row r="71" spans="8:8">
      <c r="H71" s="94"/>
    </row>
    <row r="72" spans="8:8">
      <c r="H72" s="94"/>
    </row>
    <row r="73" spans="8:9">
      <c r="H73" s="96"/>
      <c r="I73" s="57"/>
    </row>
    <row r="74" spans="8:8">
      <c r="H74" s="96"/>
    </row>
    <row r="75" spans="8:8">
      <c r="H75" s="96"/>
    </row>
    <row r="76" spans="8:8">
      <c r="H76" s="96"/>
    </row>
    <row r="77" spans="8:8">
      <c r="H77" s="96"/>
    </row>
    <row r="78" spans="8:8">
      <c r="H78" s="96"/>
    </row>
    <row r="79" spans="8:8">
      <c r="H79" s="96"/>
    </row>
    <row r="80" spans="8:8">
      <c r="H80" s="96"/>
    </row>
    <row r="81" spans="8:8">
      <c r="H81" s="96"/>
    </row>
    <row r="82" spans="8:8">
      <c r="H82" s="96"/>
    </row>
    <row r="83" spans="8:8">
      <c r="H83" s="96"/>
    </row>
    <row r="84" spans="8:8">
      <c r="H84" s="96"/>
    </row>
    <row r="85" spans="8:8">
      <c r="H85" s="96"/>
    </row>
    <row r="86" spans="1:9">
      <c r="A86" s="255"/>
      <c r="B86" s="74"/>
      <c r="H86" s="96"/>
      <c r="I86" s="96"/>
    </row>
    <row r="87" spans="2:2">
      <c r="B87" s="74"/>
    </row>
    <row r="88" spans="2:2">
      <c r="B88" s="74"/>
    </row>
    <row r="89" spans="1:2">
      <c r="A89" s="255"/>
      <c r="B89" s="74"/>
    </row>
    <row r="90" spans="2:2">
      <c r="B90" s="74"/>
    </row>
    <row r="91" spans="2:2">
      <c r="B91" s="74"/>
    </row>
    <row r="92" spans="2:2">
      <c r="B92" s="74"/>
    </row>
    <row r="93" spans="2:2">
      <c r="B93" s="74"/>
    </row>
    <row r="94" spans="2:2">
      <c r="B94" s="74"/>
    </row>
    <row r="95" spans="2:2">
      <c r="B95" s="74"/>
    </row>
    <row r="96" spans="2:2">
      <c r="B96" s="74"/>
    </row>
    <row r="97" spans="2:2">
      <c r="B97" s="74"/>
    </row>
    <row r="98" spans="2:2">
      <c r="B98" s="74"/>
    </row>
    <row r="99" spans="2:2">
      <c r="B99" s="74"/>
    </row>
    <row r="100" spans="2:2">
      <c r="B100" s="74"/>
    </row>
    <row r="101" spans="2:2">
      <c r="B101" s="74"/>
    </row>
    <row r="102" spans="2:2">
      <c r="B102" s="74"/>
    </row>
    <row r="103" spans="2:2">
      <c r="B103" s="74"/>
    </row>
    <row r="104" spans="2:2">
      <c r="B104" s="74"/>
    </row>
    <row r="105" spans="1:2">
      <c r="A105" s="255"/>
      <c r="B105" s="74"/>
    </row>
    <row r="106" spans="2:2">
      <c r="B106" s="74"/>
    </row>
    <row r="107" spans="2:2">
      <c r="B107" s="74"/>
    </row>
    <row r="108" spans="2:2">
      <c r="B108" s="74"/>
    </row>
  </sheetData>
  <autoFilter xmlns:etc="http://www.wps.cn/officeDocument/2017/etCustomData" ref="C1:C60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196850393700787" right="0.196850393700787" top="0.196850393700787" bottom="0.196850393700787" header="0.196850393700787" footer="0.196850393700787"/>
  <pageSetup paperSize="9" scale="85" orientation="landscape" horizontalDpi="360" verticalDpi="36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52"/>
  <sheetViews>
    <sheetView workbookViewId="0">
      <pane ySplit="5" topLeftCell="A6" activePane="bottomLeft" state="frozen"/>
      <selection/>
      <selection pane="bottomLeft" activeCell="N16" sqref="$A1:$XFD1048576"/>
    </sheetView>
  </sheetViews>
  <sheetFormatPr defaultColWidth="9" defaultRowHeight="16.8"/>
  <cols>
    <col min="1" max="1" width="12.2890625" customWidth="1"/>
    <col min="2" max="2" width="18.7109375" customWidth="1"/>
    <col min="3" max="3" width="33.7109375" customWidth="1"/>
    <col min="4" max="4" width="15.4296875" customWidth="1"/>
    <col min="5" max="5" width="14.2890625" customWidth="1"/>
    <col min="6" max="6" width="15.2890625" customWidth="1"/>
    <col min="7" max="7" width="14.140625" customWidth="1"/>
    <col min="8" max="8" width="16.859375" customWidth="1"/>
    <col min="9" max="9" width="13.4296875" customWidth="1"/>
    <col min="10" max="10" width="14.859375" customWidth="1"/>
    <col min="11" max="11" width="5" customWidth="1"/>
    <col min="12" max="12" width="13.5703125" customWidth="1"/>
    <col min="13" max="13" width="14.4296875" customWidth="1"/>
    <col min="14" max="14" width="15.859375" customWidth="1"/>
    <col min="15" max="15" width="3.4296875" customWidth="1"/>
    <col min="16" max="16" width="14.2890625" customWidth="1"/>
    <col min="17" max="17" width="15.2890625" customWidth="1"/>
  </cols>
  <sheetData>
    <row r="1" ht="17.6" spans="1:7">
      <c r="A1" s="2" t="s">
        <v>184</v>
      </c>
      <c r="B1" s="2"/>
      <c r="C1" s="1"/>
      <c r="D1" s="3"/>
      <c r="E1" s="25"/>
      <c r="F1" s="26"/>
      <c r="G1" s="27"/>
    </row>
    <row r="2" spans="1:16">
      <c r="A2" s="1"/>
      <c r="B2" s="1"/>
      <c r="C2" s="1"/>
      <c r="D2" s="3"/>
      <c r="E2" s="25"/>
      <c r="F2" s="1"/>
      <c r="G2" s="27"/>
      <c r="J2" s="94"/>
      <c r="L2" s="57"/>
      <c r="M2" s="96"/>
      <c r="N2" s="96"/>
      <c r="P2" s="96"/>
    </row>
    <row r="3" spans="1:7">
      <c r="A3" s="4" t="s">
        <v>28</v>
      </c>
      <c r="B3" s="1"/>
      <c r="C3" s="1"/>
      <c r="D3" s="3"/>
      <c r="E3" s="25"/>
      <c r="F3" s="1"/>
      <c r="G3" s="27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L4" s="41" t="s">
        <v>32</v>
      </c>
      <c r="M4" s="41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L5" s="58"/>
      <c r="M5" s="58"/>
      <c r="N5" s="58"/>
      <c r="P5" s="41"/>
    </row>
    <row r="6" ht="15.75" customHeight="1" spans="1:16">
      <c r="A6" s="14">
        <v>45782</v>
      </c>
      <c r="B6" s="14" t="s">
        <v>185</v>
      </c>
      <c r="C6" s="15" t="s">
        <v>186</v>
      </c>
      <c r="D6" s="16"/>
      <c r="E6" s="31"/>
      <c r="F6" s="16">
        <v>8677500</v>
      </c>
      <c r="G6" s="31"/>
      <c r="H6" s="226">
        <f>SUM(D6:G6)</f>
        <v>8677500</v>
      </c>
      <c r="I6" s="16">
        <f t="shared" ref="I6:I7" si="0">H6*0.11</f>
        <v>954525</v>
      </c>
      <c r="J6" s="16">
        <f t="shared" ref="J6:J7" si="1">H6+I6</f>
        <v>9632025</v>
      </c>
      <c r="L6" s="245">
        <v>45782</v>
      </c>
      <c r="M6" s="249"/>
      <c r="N6" s="250">
        <f t="shared" ref="N6:N11" si="2">J6-M6</f>
        <v>9632025</v>
      </c>
      <c r="P6" s="251">
        <f>J6-N6</f>
        <v>0</v>
      </c>
    </row>
    <row r="7" s="1" customFormat="1" ht="17.6" spans="1:16">
      <c r="A7" s="14">
        <v>45782</v>
      </c>
      <c r="B7" s="14" t="s">
        <v>187</v>
      </c>
      <c r="C7" s="15" t="s">
        <v>42</v>
      </c>
      <c r="D7" s="16">
        <v>74000000</v>
      </c>
      <c r="E7" s="31"/>
      <c r="F7" s="16"/>
      <c r="G7" s="31"/>
      <c r="H7" s="226">
        <f t="shared" ref="H7:H22" si="3">SUM(D7:G7)</f>
        <v>74000000</v>
      </c>
      <c r="I7" s="16">
        <f t="shared" si="0"/>
        <v>8140000</v>
      </c>
      <c r="J7" s="16">
        <f t="shared" si="1"/>
        <v>82140000</v>
      </c>
      <c r="K7" s="89"/>
      <c r="L7" s="246">
        <v>45824</v>
      </c>
      <c r="M7" s="252">
        <f>(D7*0.02)+2000</f>
        <v>1482000</v>
      </c>
      <c r="N7" s="72">
        <f t="shared" si="2"/>
        <v>80658000</v>
      </c>
      <c r="P7" s="251">
        <f>J7-M7-N7</f>
        <v>0</v>
      </c>
    </row>
    <row r="8" s="1" customFormat="1" ht="17.6" spans="1:17">
      <c r="A8" s="14">
        <v>45786</v>
      </c>
      <c r="B8" s="14" t="s">
        <v>188</v>
      </c>
      <c r="C8" s="15" t="s">
        <v>189</v>
      </c>
      <c r="D8" s="16"/>
      <c r="E8" s="31">
        <v>9100000</v>
      </c>
      <c r="F8" s="16"/>
      <c r="G8" s="31"/>
      <c r="H8" s="226">
        <f t="shared" si="3"/>
        <v>9100000</v>
      </c>
      <c r="I8" s="16">
        <f t="shared" ref="I8:I22" si="4">H8*0.11</f>
        <v>1001000</v>
      </c>
      <c r="J8" s="16">
        <f t="shared" ref="J8:J12" si="5">H8+I8</f>
        <v>10101000</v>
      </c>
      <c r="K8" s="89"/>
      <c r="L8" s="190">
        <v>45818</v>
      </c>
      <c r="M8" s="240"/>
      <c r="N8" s="72">
        <f t="shared" si="2"/>
        <v>10101000</v>
      </c>
      <c r="P8" s="251">
        <f t="shared" ref="P8:P18" si="6">J8-N8-M8</f>
        <v>0</v>
      </c>
      <c r="Q8" s="25"/>
    </row>
    <row r="9" s="1" customFormat="1" ht="17.6" spans="1:17">
      <c r="A9" s="14">
        <v>45790</v>
      </c>
      <c r="B9" s="14" t="s">
        <v>190</v>
      </c>
      <c r="C9" s="15" t="s">
        <v>179</v>
      </c>
      <c r="D9" s="16"/>
      <c r="E9" s="31"/>
      <c r="F9" s="16">
        <v>51200370</v>
      </c>
      <c r="G9" s="31"/>
      <c r="H9" s="226">
        <f t="shared" si="3"/>
        <v>51200370</v>
      </c>
      <c r="I9" s="16">
        <f t="shared" si="4"/>
        <v>5632040.7</v>
      </c>
      <c r="J9" s="16">
        <f t="shared" si="5"/>
        <v>56832410.7</v>
      </c>
      <c r="K9" s="89"/>
      <c r="L9" s="190">
        <v>45827</v>
      </c>
      <c r="M9" s="240"/>
      <c r="N9" s="72">
        <f t="shared" si="2"/>
        <v>56832410.7</v>
      </c>
      <c r="P9" s="251">
        <f t="shared" si="6"/>
        <v>0</v>
      </c>
      <c r="Q9" s="73"/>
    </row>
    <row r="10" s="1" customFormat="1" ht="17.6" spans="1:16">
      <c r="A10" s="14">
        <v>45790</v>
      </c>
      <c r="B10" s="14" t="s">
        <v>191</v>
      </c>
      <c r="C10" s="15" t="s">
        <v>98</v>
      </c>
      <c r="D10" s="16"/>
      <c r="E10" s="31">
        <v>29925000</v>
      </c>
      <c r="F10" s="16"/>
      <c r="G10" s="31"/>
      <c r="H10" s="226">
        <f t="shared" si="3"/>
        <v>29925000</v>
      </c>
      <c r="I10" s="16">
        <f t="shared" si="4"/>
        <v>3291750</v>
      </c>
      <c r="J10" s="16">
        <f t="shared" si="5"/>
        <v>33216750</v>
      </c>
      <c r="K10" s="89"/>
      <c r="L10" s="190">
        <v>45868</v>
      </c>
      <c r="M10" s="195"/>
      <c r="N10" s="72">
        <f t="shared" si="2"/>
        <v>33216750</v>
      </c>
      <c r="P10" s="251">
        <f t="shared" si="6"/>
        <v>0</v>
      </c>
    </row>
    <row r="11" s="1" customFormat="1" ht="17.6" spans="1:16">
      <c r="A11" s="14">
        <v>45790</v>
      </c>
      <c r="B11" s="14" t="s">
        <v>192</v>
      </c>
      <c r="C11" s="15" t="s">
        <v>52</v>
      </c>
      <c r="D11" s="16"/>
      <c r="E11" s="31"/>
      <c r="F11" s="16">
        <v>14250000</v>
      </c>
      <c r="G11" s="31"/>
      <c r="H11" s="226">
        <f t="shared" si="3"/>
        <v>14250000</v>
      </c>
      <c r="I11" s="16">
        <f t="shared" si="4"/>
        <v>1567500</v>
      </c>
      <c r="J11" s="16">
        <f t="shared" si="5"/>
        <v>15817500</v>
      </c>
      <c r="K11" s="89"/>
      <c r="L11" s="190">
        <v>45824</v>
      </c>
      <c r="M11" s="199"/>
      <c r="N11" s="72">
        <f t="shared" si="2"/>
        <v>15817500</v>
      </c>
      <c r="P11" s="251">
        <f t="shared" si="6"/>
        <v>0</v>
      </c>
    </row>
    <row r="12" s="1" customFormat="1" ht="17.6" spans="1:16">
      <c r="A12" s="14">
        <v>45790</v>
      </c>
      <c r="B12" s="14" t="s">
        <v>193</v>
      </c>
      <c r="C12" s="15" t="s">
        <v>57</v>
      </c>
      <c r="D12" s="16">
        <v>377000000</v>
      </c>
      <c r="E12" s="31"/>
      <c r="F12" s="16"/>
      <c r="G12" s="31"/>
      <c r="H12" s="226">
        <f t="shared" si="3"/>
        <v>377000000</v>
      </c>
      <c r="I12" s="16">
        <f t="shared" si="4"/>
        <v>41470000</v>
      </c>
      <c r="J12" s="16">
        <f t="shared" si="5"/>
        <v>418470000</v>
      </c>
      <c r="K12" s="89"/>
      <c r="L12" s="190">
        <v>45870</v>
      </c>
      <c r="M12" s="197">
        <f>D12*0.02</f>
        <v>7540000</v>
      </c>
      <c r="N12" s="72">
        <f t="shared" ref="N12:N20" si="7">J12-M12</f>
        <v>410930000</v>
      </c>
      <c r="P12" s="251">
        <f t="shared" si="6"/>
        <v>0</v>
      </c>
    </row>
    <row r="13" s="1" customFormat="1" ht="17.6" spans="1:17">
      <c r="A13" s="14">
        <v>45790</v>
      </c>
      <c r="B13" s="14" t="s">
        <v>194</v>
      </c>
      <c r="C13" s="15" t="s">
        <v>57</v>
      </c>
      <c r="D13" s="16">
        <v>187103350</v>
      </c>
      <c r="E13" s="31"/>
      <c r="F13" s="16">
        <f>427000000-187103350</f>
        <v>239896650</v>
      </c>
      <c r="G13" s="31"/>
      <c r="H13" s="226">
        <f t="shared" si="3"/>
        <v>427000000</v>
      </c>
      <c r="I13" s="16">
        <f t="shared" si="4"/>
        <v>46970000</v>
      </c>
      <c r="J13" s="16">
        <f t="shared" ref="J13:J20" si="8">H13+I13</f>
        <v>473970000</v>
      </c>
      <c r="K13" s="89"/>
      <c r="L13" s="190">
        <v>45870</v>
      </c>
      <c r="M13" s="197">
        <f>D13*0.02</f>
        <v>3742067</v>
      </c>
      <c r="N13" s="72">
        <f t="shared" si="7"/>
        <v>470227933</v>
      </c>
      <c r="P13" s="251">
        <f t="shared" si="6"/>
        <v>0</v>
      </c>
      <c r="Q13" s="25"/>
    </row>
    <row r="14" s="1" customFormat="1" ht="17.6" spans="1:17">
      <c r="A14" s="14">
        <v>45790</v>
      </c>
      <c r="B14" s="14" t="s">
        <v>195</v>
      </c>
      <c r="C14" s="15" t="s">
        <v>57</v>
      </c>
      <c r="D14" s="16">
        <v>126000000</v>
      </c>
      <c r="E14" s="31"/>
      <c r="F14" s="16"/>
      <c r="G14" s="31"/>
      <c r="H14" s="226">
        <f t="shared" si="3"/>
        <v>126000000</v>
      </c>
      <c r="I14" s="16">
        <f t="shared" si="4"/>
        <v>13860000</v>
      </c>
      <c r="J14" s="16">
        <f t="shared" si="8"/>
        <v>139860000</v>
      </c>
      <c r="K14" s="89"/>
      <c r="L14" s="190">
        <v>45870</v>
      </c>
      <c r="M14" s="240">
        <f>D14*0.02</f>
        <v>2520000</v>
      </c>
      <c r="N14" s="72">
        <f t="shared" si="7"/>
        <v>137340000</v>
      </c>
      <c r="P14" s="251">
        <f t="shared" si="6"/>
        <v>0</v>
      </c>
      <c r="Q14" s="243"/>
    </row>
    <row r="15" s="1" customFormat="1" ht="17.6" spans="1:16">
      <c r="A15" s="14">
        <v>45790</v>
      </c>
      <c r="B15" s="14" t="s">
        <v>196</v>
      </c>
      <c r="C15" s="15" t="s">
        <v>57</v>
      </c>
      <c r="D15" s="16">
        <v>233000000</v>
      </c>
      <c r="E15" s="31"/>
      <c r="F15" s="16"/>
      <c r="G15" s="31"/>
      <c r="H15" s="226">
        <f t="shared" si="3"/>
        <v>233000000</v>
      </c>
      <c r="I15" s="16">
        <f t="shared" si="4"/>
        <v>25630000</v>
      </c>
      <c r="J15" s="16">
        <f t="shared" si="8"/>
        <v>258630000</v>
      </c>
      <c r="K15" s="89"/>
      <c r="L15" s="190">
        <v>45870</v>
      </c>
      <c r="M15" s="240">
        <f>D15*0.02</f>
        <v>4660000</v>
      </c>
      <c r="N15" s="72">
        <f t="shared" si="7"/>
        <v>253970000</v>
      </c>
      <c r="P15" s="251">
        <f t="shared" si="6"/>
        <v>0</v>
      </c>
    </row>
    <row r="16" s="1" customFormat="1" ht="17.6" spans="1:16">
      <c r="A16" s="14">
        <v>45793</v>
      </c>
      <c r="B16" s="14" t="s">
        <v>197</v>
      </c>
      <c r="C16" s="15" t="s">
        <v>98</v>
      </c>
      <c r="D16" s="16"/>
      <c r="E16" s="31">
        <v>137700000</v>
      </c>
      <c r="F16" s="16"/>
      <c r="G16" s="31"/>
      <c r="H16" s="226">
        <f t="shared" si="3"/>
        <v>137700000</v>
      </c>
      <c r="I16" s="16">
        <f t="shared" si="4"/>
        <v>15147000</v>
      </c>
      <c r="J16" s="16">
        <f t="shared" si="8"/>
        <v>152847000</v>
      </c>
      <c r="K16" s="89"/>
      <c r="L16" s="190">
        <v>45868</v>
      </c>
      <c r="M16" s="240"/>
      <c r="N16" s="72">
        <f t="shared" si="7"/>
        <v>152847000</v>
      </c>
      <c r="P16" s="251">
        <f t="shared" si="6"/>
        <v>0</v>
      </c>
    </row>
    <row r="17" s="1" customFormat="1" ht="17.6" spans="1:16">
      <c r="A17" s="14">
        <v>45798</v>
      </c>
      <c r="B17" s="14" t="s">
        <v>198</v>
      </c>
      <c r="C17" s="15" t="s">
        <v>199</v>
      </c>
      <c r="D17" s="16"/>
      <c r="E17" s="31"/>
      <c r="F17" s="16">
        <v>1000000</v>
      </c>
      <c r="G17" s="31"/>
      <c r="H17" s="226">
        <f t="shared" si="3"/>
        <v>1000000</v>
      </c>
      <c r="I17" s="16">
        <f t="shared" si="4"/>
        <v>110000</v>
      </c>
      <c r="J17" s="16">
        <f t="shared" si="8"/>
        <v>1110000</v>
      </c>
      <c r="K17" s="89"/>
      <c r="L17" s="190">
        <v>45797</v>
      </c>
      <c r="M17" s="240"/>
      <c r="N17" s="72">
        <f t="shared" si="7"/>
        <v>1110000</v>
      </c>
      <c r="P17" s="251">
        <f t="shared" si="6"/>
        <v>0</v>
      </c>
    </row>
    <row r="18" s="1" customFormat="1" ht="17.6" spans="1:16">
      <c r="A18" s="14">
        <v>45798</v>
      </c>
      <c r="B18" s="14" t="s">
        <v>200</v>
      </c>
      <c r="C18" s="15" t="s">
        <v>42</v>
      </c>
      <c r="D18" s="16">
        <v>14350000</v>
      </c>
      <c r="E18" s="31"/>
      <c r="F18" s="16"/>
      <c r="G18" s="31"/>
      <c r="H18" s="226">
        <f t="shared" si="3"/>
        <v>14350000</v>
      </c>
      <c r="I18" s="16">
        <f t="shared" si="4"/>
        <v>1578500</v>
      </c>
      <c r="J18" s="16">
        <f t="shared" si="8"/>
        <v>15928500</v>
      </c>
      <c r="K18" s="89"/>
      <c r="L18" s="190">
        <v>45838</v>
      </c>
      <c r="M18" s="199">
        <f>D18*0.02</f>
        <v>287000</v>
      </c>
      <c r="N18" s="72">
        <f t="shared" si="7"/>
        <v>15641500</v>
      </c>
      <c r="P18" s="251">
        <f t="shared" si="6"/>
        <v>0</v>
      </c>
    </row>
    <row r="19" s="1" customFormat="1" ht="17.6" spans="1:17">
      <c r="A19" s="14">
        <v>45798</v>
      </c>
      <c r="B19" s="14" t="s">
        <v>201</v>
      </c>
      <c r="C19" s="15" t="s">
        <v>42</v>
      </c>
      <c r="D19" s="16"/>
      <c r="E19" s="31"/>
      <c r="F19" s="244">
        <v>8500000</v>
      </c>
      <c r="G19" s="31"/>
      <c r="H19" s="226">
        <f t="shared" si="3"/>
        <v>8500000</v>
      </c>
      <c r="I19" s="16">
        <f t="shared" si="4"/>
        <v>935000</v>
      </c>
      <c r="J19" s="16">
        <f t="shared" si="8"/>
        <v>9435000</v>
      </c>
      <c r="K19" s="89"/>
      <c r="L19" s="190">
        <v>45838</v>
      </c>
      <c r="M19" s="199">
        <v>4000</v>
      </c>
      <c r="N19" s="72">
        <f t="shared" si="7"/>
        <v>9431000</v>
      </c>
      <c r="P19" s="251">
        <f>J19-M19-N19</f>
        <v>0</v>
      </c>
      <c r="Q19" s="73"/>
    </row>
    <row r="20" s="1" customFormat="1" ht="17.6" spans="1:16">
      <c r="A20" s="14">
        <v>45800</v>
      </c>
      <c r="B20" s="14" t="s">
        <v>202</v>
      </c>
      <c r="C20" s="15" t="s">
        <v>203</v>
      </c>
      <c r="D20" s="16"/>
      <c r="E20" s="31">
        <v>58386850</v>
      </c>
      <c r="F20" s="16"/>
      <c r="G20" s="31"/>
      <c r="H20" s="226">
        <f t="shared" si="3"/>
        <v>58386850</v>
      </c>
      <c r="I20" s="16">
        <f t="shared" si="4"/>
        <v>6422553.5</v>
      </c>
      <c r="J20" s="16">
        <f t="shared" si="8"/>
        <v>64809403.5</v>
      </c>
      <c r="K20" s="89"/>
      <c r="L20" s="190">
        <v>45813</v>
      </c>
      <c r="M20" s="199"/>
      <c r="N20" s="72">
        <f t="shared" si="7"/>
        <v>64809403.5</v>
      </c>
      <c r="P20" s="251">
        <f t="shared" ref="P20:P21" si="9">J20-N20</f>
        <v>0</v>
      </c>
    </row>
    <row r="21" s="1" customFormat="1" ht="17.6" spans="1:17">
      <c r="A21" s="14"/>
      <c r="B21" s="14"/>
      <c r="C21" s="15"/>
      <c r="D21" s="16"/>
      <c r="E21" s="31"/>
      <c r="F21" s="16"/>
      <c r="G21" s="31"/>
      <c r="H21" s="226"/>
      <c r="I21" s="16"/>
      <c r="J21" s="16"/>
      <c r="K21" s="89"/>
      <c r="L21" s="190"/>
      <c r="M21" s="240"/>
      <c r="N21" s="72">
        <v>0</v>
      </c>
      <c r="P21" s="251">
        <f t="shared" si="9"/>
        <v>0</v>
      </c>
      <c r="Q21" s="73"/>
    </row>
    <row r="22" s="1" customFormat="1" ht="17.6" spans="1:16">
      <c r="A22" s="14"/>
      <c r="B22" s="14"/>
      <c r="C22" s="15"/>
      <c r="D22" s="16"/>
      <c r="E22" s="31"/>
      <c r="F22" s="16"/>
      <c r="G22" s="31"/>
      <c r="H22" s="226">
        <f t="shared" si="3"/>
        <v>0</v>
      </c>
      <c r="I22" s="247">
        <f t="shared" si="4"/>
        <v>0</v>
      </c>
      <c r="J22" s="16">
        <f t="shared" ref="J22" si="10">H22+I22</f>
        <v>0</v>
      </c>
      <c r="K22" s="89"/>
      <c r="L22" s="167"/>
      <c r="M22" s="197">
        <f t="shared" ref="M22" si="11">D22*0.02</f>
        <v>0</v>
      </c>
      <c r="N22" s="72">
        <v>0</v>
      </c>
      <c r="P22" s="253">
        <f t="shared" ref="P22" si="12">J22-M22-N22</f>
        <v>0</v>
      </c>
    </row>
    <row r="23" ht="21.75" customHeight="1" spans="1:17">
      <c r="A23" s="22"/>
      <c r="B23" s="22"/>
      <c r="C23" s="23" t="s">
        <v>10</v>
      </c>
      <c r="D23" s="86">
        <f t="shared" ref="D23:J23" si="13">SUM(D6:D22)</f>
        <v>1011453350</v>
      </c>
      <c r="E23" s="86">
        <f t="shared" si="13"/>
        <v>235111850</v>
      </c>
      <c r="F23" s="86">
        <f t="shared" si="13"/>
        <v>323524520</v>
      </c>
      <c r="G23" s="86">
        <f t="shared" si="13"/>
        <v>0</v>
      </c>
      <c r="H23" s="86">
        <f t="shared" si="13"/>
        <v>1570089720</v>
      </c>
      <c r="I23" s="86">
        <f t="shared" si="13"/>
        <v>172709869.2</v>
      </c>
      <c r="J23" s="86">
        <f t="shared" si="13"/>
        <v>1742799589.2</v>
      </c>
      <c r="L23" s="86"/>
      <c r="M23" s="86">
        <f>SUM(M7:M22)</f>
        <v>20235067</v>
      </c>
      <c r="N23" s="86">
        <f>SUM(N7:N22)</f>
        <v>1712932497.2</v>
      </c>
      <c r="P23" s="93">
        <f>SUM(P6:P22)</f>
        <v>0</v>
      </c>
      <c r="Q23" s="74"/>
    </row>
    <row r="24" spans="8:16">
      <c r="H24" s="39"/>
      <c r="N24" s="39"/>
      <c r="P24" s="254"/>
    </row>
    <row r="25" spans="8:16">
      <c r="H25" s="87"/>
      <c r="J25" s="57"/>
      <c r="P25" s="74"/>
    </row>
    <row r="26" spans="14:16">
      <c r="N26" s="74"/>
      <c r="P26" s="57"/>
    </row>
    <row r="27" spans="8:16">
      <c r="H27" s="39"/>
      <c r="I27" s="39"/>
      <c r="K27" s="248"/>
      <c r="L27" s="57"/>
      <c r="M27" s="94"/>
      <c r="N27" s="255"/>
      <c r="P27" s="94">
        <f>P12+P13+P14+P15</f>
        <v>0</v>
      </c>
    </row>
    <row r="28" spans="7:16">
      <c r="G28" s="55"/>
      <c r="H28" s="39"/>
      <c r="I28" s="39"/>
      <c r="K28" s="57"/>
      <c r="M28" s="57"/>
      <c r="N28" s="74"/>
      <c r="P28" s="57"/>
    </row>
    <row r="29" spans="8:14">
      <c r="H29" s="39"/>
      <c r="I29" s="39"/>
      <c r="M29" s="57"/>
      <c r="N29" s="57"/>
    </row>
    <row r="30" spans="8:11">
      <c r="H30" s="39"/>
      <c r="I30" s="39"/>
      <c r="K30" s="57"/>
    </row>
    <row r="31" spans="8:13">
      <c r="H31" s="39"/>
      <c r="I31" s="39"/>
      <c r="M31" s="57"/>
    </row>
    <row r="32" spans="8:13">
      <c r="H32" s="39"/>
      <c r="I32" s="39"/>
      <c r="M32" s="96"/>
    </row>
    <row r="33" spans="8:9">
      <c r="H33" s="39"/>
      <c r="I33" s="39"/>
    </row>
    <row r="34" spans="8:9">
      <c r="H34" s="39"/>
      <c r="I34" s="39"/>
    </row>
    <row r="35" spans="8:9">
      <c r="H35" s="39"/>
      <c r="I35" s="39"/>
    </row>
    <row r="36" spans="8:10">
      <c r="H36" s="39"/>
      <c r="I36" s="39"/>
      <c r="J36" s="94"/>
    </row>
    <row r="37" spans="8:10">
      <c r="H37" s="39"/>
      <c r="I37" s="39"/>
      <c r="J37" s="94"/>
    </row>
    <row r="38" spans="8:9">
      <c r="H38" s="39"/>
      <c r="I38" s="39"/>
    </row>
    <row r="39" spans="8:10">
      <c r="H39" s="39"/>
      <c r="I39" s="39"/>
      <c r="J39" s="94"/>
    </row>
    <row r="40" spans="9:11">
      <c r="I40" s="94"/>
      <c r="K40" s="96"/>
    </row>
    <row r="41" spans="9:9">
      <c r="I41" s="94"/>
    </row>
    <row r="42" spans="9:9">
      <c r="I42" s="94"/>
    </row>
    <row r="43" spans="9:9">
      <c r="I43" s="94"/>
    </row>
    <row r="44" spans="9:9">
      <c r="I44" s="94"/>
    </row>
    <row r="45" spans="9:9">
      <c r="I45" s="94"/>
    </row>
    <row r="46" spans="9:9">
      <c r="I46" s="94"/>
    </row>
    <row r="47" spans="10:10">
      <c r="J47" s="94"/>
    </row>
    <row r="48" spans="9:9">
      <c r="I48" s="94"/>
    </row>
    <row r="49" spans="9:9">
      <c r="I49" s="94"/>
    </row>
    <row r="50" spans="9:9">
      <c r="I50" s="94"/>
    </row>
    <row r="51" spans="10:10">
      <c r="J51" s="94"/>
    </row>
    <row r="52" spans="8:9">
      <c r="H52" s="96"/>
      <c r="I52" s="57"/>
    </row>
  </sheetData>
  <autoFilter xmlns:etc="http://www.wps.cn/officeDocument/2017/etCustomData" ref="C1:C25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7" right="0.7" top="0.75" bottom="0.75" header="0.3" footer="0.3"/>
  <pageSetup paperSize="1" orientation="portrait" horizontalDpi="360" verticalDpi="36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46"/>
  <sheetViews>
    <sheetView tabSelected="1" workbookViewId="0">
      <pane ySplit="5" topLeftCell="A6" activePane="bottomLeft" state="frozen"/>
      <selection/>
      <selection pane="bottomLeft" activeCell="N22" sqref="$A1:$XFD1048576"/>
    </sheetView>
  </sheetViews>
  <sheetFormatPr defaultColWidth="9" defaultRowHeight="16.8"/>
  <cols>
    <col min="1" max="1" width="12.2890625" customWidth="1"/>
    <col min="2" max="2" width="18.7109375" customWidth="1"/>
    <col min="3" max="3" width="36.5703125" customWidth="1"/>
    <col min="4" max="4" width="15.4296875" customWidth="1"/>
    <col min="5" max="5" width="14.2890625" customWidth="1"/>
    <col min="6" max="6" width="14.4296875" customWidth="1"/>
    <col min="7" max="7" width="14.140625" customWidth="1"/>
    <col min="8" max="8" width="16.859375" customWidth="1"/>
    <col min="9" max="9" width="13.4296875" customWidth="1"/>
    <col min="10" max="10" width="14.859375" customWidth="1"/>
    <col min="11" max="11" width="4.5703125" customWidth="1"/>
    <col min="12" max="12" width="13.4296875" customWidth="1"/>
    <col min="13" max="13" width="13.2890625" customWidth="1"/>
    <col min="14" max="14" width="13.4296875" customWidth="1"/>
    <col min="15" max="15" width="2.7109375" customWidth="1"/>
    <col min="16" max="16" width="14.859375" customWidth="1"/>
    <col min="17" max="17" width="15.2890625" customWidth="1"/>
    <col min="18" max="18" width="32.859375" customWidth="1"/>
    <col min="19" max="19" width="22.7109375" customWidth="1"/>
    <col min="21" max="21" width="11" customWidth="1"/>
  </cols>
  <sheetData>
    <row r="1" ht="17.6" spans="1:7">
      <c r="A1" s="2" t="s">
        <v>204</v>
      </c>
      <c r="B1" s="2"/>
      <c r="C1" s="1"/>
      <c r="D1" s="3"/>
      <c r="E1" s="25"/>
      <c r="F1" s="26"/>
      <c r="G1" s="27"/>
    </row>
    <row r="2" spans="1:16">
      <c r="A2" s="1"/>
      <c r="B2" s="1"/>
      <c r="C2" s="1"/>
      <c r="D2" s="3"/>
      <c r="E2" s="25"/>
      <c r="F2" s="1"/>
      <c r="G2" s="27"/>
      <c r="N2" s="129"/>
      <c r="P2" s="129"/>
    </row>
    <row r="3" spans="1:7">
      <c r="A3" s="4" t="s">
        <v>28</v>
      </c>
      <c r="B3" s="1"/>
      <c r="C3" s="1"/>
      <c r="D3" s="3"/>
      <c r="E3" s="25"/>
      <c r="F3" s="1"/>
      <c r="G3" s="27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L4" s="41" t="s">
        <v>32</v>
      </c>
      <c r="M4" s="41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L5" s="58"/>
      <c r="M5" s="58"/>
      <c r="N5" s="58"/>
      <c r="P5" s="41"/>
    </row>
    <row r="6" ht="16.5" customHeight="1" spans="1:16">
      <c r="A6" s="14">
        <v>45811</v>
      </c>
      <c r="B6" s="14" t="s">
        <v>205</v>
      </c>
      <c r="C6" s="15" t="s">
        <v>164</v>
      </c>
      <c r="D6" s="16">
        <v>40125000</v>
      </c>
      <c r="E6" s="225"/>
      <c r="F6" s="155"/>
      <c r="G6" s="159"/>
      <c r="H6" s="162">
        <f>SUM(D6:G6)</f>
        <v>40125000</v>
      </c>
      <c r="I6" s="155">
        <f>H6*0.11</f>
        <v>4413750</v>
      </c>
      <c r="J6" s="155">
        <f t="shared" ref="J6:J7" si="0">H6+I6</f>
        <v>44538750</v>
      </c>
      <c r="L6" s="227">
        <v>45852</v>
      </c>
      <c r="M6" s="232">
        <f>(D6*0.02)+3000</f>
        <v>805500</v>
      </c>
      <c r="N6" s="233">
        <f t="shared" ref="N6:N21" si="1">J6-M6</f>
        <v>43733250</v>
      </c>
      <c r="P6" s="234">
        <f>J6-M6-N6</f>
        <v>0</v>
      </c>
    </row>
    <row r="7" ht="16.5" customHeight="1" spans="1:16">
      <c r="A7" s="14">
        <v>45811</v>
      </c>
      <c r="B7" s="14" t="s">
        <v>206</v>
      </c>
      <c r="C7" s="15" t="s">
        <v>42</v>
      </c>
      <c r="D7" s="155"/>
      <c r="E7" s="225"/>
      <c r="F7" s="155">
        <v>2530000</v>
      </c>
      <c r="G7" s="31"/>
      <c r="H7" s="226">
        <f t="shared" ref="H7" si="2">SUM(D7:G7)</f>
        <v>2530000</v>
      </c>
      <c r="I7" s="16">
        <f t="shared" ref="I7:I9" si="3">H7*0.11</f>
        <v>278300</v>
      </c>
      <c r="J7" s="16">
        <f t="shared" si="0"/>
        <v>2808300</v>
      </c>
      <c r="L7" s="228">
        <v>45853</v>
      </c>
      <c r="M7" s="235"/>
      <c r="N7" s="236">
        <f t="shared" si="1"/>
        <v>2808300</v>
      </c>
      <c r="P7" s="237">
        <f>J7-M7-N7</f>
        <v>0</v>
      </c>
    </row>
    <row r="8" ht="16.5" customHeight="1" spans="1:17">
      <c r="A8" s="14">
        <v>45812</v>
      </c>
      <c r="B8" s="14" t="s">
        <v>207</v>
      </c>
      <c r="C8" s="15" t="s">
        <v>42</v>
      </c>
      <c r="D8" s="155"/>
      <c r="E8" s="225"/>
      <c r="F8" s="155">
        <v>1250000</v>
      </c>
      <c r="G8" s="159"/>
      <c r="H8" s="162">
        <f t="shared" ref="H8:H23" si="4">SUM(D8:G8)</f>
        <v>1250000</v>
      </c>
      <c r="I8" s="155">
        <f t="shared" si="3"/>
        <v>137500</v>
      </c>
      <c r="J8" s="155">
        <f t="shared" ref="J8" si="5">H8+I8</f>
        <v>1387500</v>
      </c>
      <c r="L8" s="227">
        <v>45853</v>
      </c>
      <c r="M8" s="232">
        <v>2000</v>
      </c>
      <c r="N8" s="233">
        <f t="shared" si="1"/>
        <v>1385500</v>
      </c>
      <c r="P8" s="238">
        <f t="shared" ref="P8:P20" si="6">J8-M8-N8</f>
        <v>0</v>
      </c>
      <c r="Q8" s="57"/>
    </row>
    <row r="9" s="1" customFormat="1" ht="17.6" spans="1:21">
      <c r="A9" s="14">
        <v>45813</v>
      </c>
      <c r="B9" s="14" t="s">
        <v>208</v>
      </c>
      <c r="C9" s="15" t="s">
        <v>209</v>
      </c>
      <c r="D9" s="155"/>
      <c r="E9" s="225"/>
      <c r="F9" s="155">
        <v>49600000</v>
      </c>
      <c r="G9" s="159"/>
      <c r="H9" s="162">
        <f t="shared" si="4"/>
        <v>49600000</v>
      </c>
      <c r="I9" s="155">
        <f t="shared" si="3"/>
        <v>5456000</v>
      </c>
      <c r="J9" s="155">
        <f t="shared" ref="J9:J23" si="7">H9+I9</f>
        <v>55056000</v>
      </c>
      <c r="K9" s="89"/>
      <c r="L9" s="190">
        <v>45842</v>
      </c>
      <c r="M9" s="197"/>
      <c r="N9" s="239">
        <f t="shared" si="1"/>
        <v>55056000</v>
      </c>
      <c r="P9" s="65">
        <f t="shared" si="6"/>
        <v>0</v>
      </c>
      <c r="Q9" s="242"/>
      <c r="R9" s="15"/>
      <c r="S9" s="15"/>
      <c r="T9" s="167"/>
      <c r="U9" s="153"/>
    </row>
    <row r="10" s="1" customFormat="1" ht="17.6" spans="1:21">
      <c r="A10" s="14">
        <v>45818</v>
      </c>
      <c r="B10" s="14" t="s">
        <v>210</v>
      </c>
      <c r="C10" s="15" t="s">
        <v>52</v>
      </c>
      <c r="D10" s="155"/>
      <c r="E10" s="225"/>
      <c r="F10" s="155">
        <v>14250000</v>
      </c>
      <c r="G10" s="159"/>
      <c r="H10" s="162">
        <f t="shared" si="4"/>
        <v>14250000</v>
      </c>
      <c r="I10" s="155">
        <f t="shared" ref="I10:I23" si="8">H10*0.11</f>
        <v>1567500</v>
      </c>
      <c r="J10" s="155">
        <f t="shared" si="7"/>
        <v>15817500</v>
      </c>
      <c r="K10" s="89"/>
      <c r="L10" s="190">
        <v>45853</v>
      </c>
      <c r="M10" s="197"/>
      <c r="N10" s="239">
        <f t="shared" si="1"/>
        <v>15817500</v>
      </c>
      <c r="P10" s="65">
        <f t="shared" si="6"/>
        <v>0</v>
      </c>
      <c r="Q10" s="242"/>
      <c r="R10" s="15"/>
      <c r="S10" s="15"/>
      <c r="T10" s="167"/>
      <c r="U10" s="153"/>
    </row>
    <row r="11" s="1" customFormat="1" ht="17.6" spans="1:21">
      <c r="A11" s="14">
        <v>45820</v>
      </c>
      <c r="B11" s="14" t="s">
        <v>211</v>
      </c>
      <c r="C11" s="15" t="s">
        <v>98</v>
      </c>
      <c r="D11" s="155"/>
      <c r="E11" s="225">
        <v>8316000</v>
      </c>
      <c r="F11" s="155"/>
      <c r="G11" s="159"/>
      <c r="H11" s="162">
        <f t="shared" si="4"/>
        <v>8316000</v>
      </c>
      <c r="I11" s="155">
        <f t="shared" si="8"/>
        <v>914760</v>
      </c>
      <c r="J11" s="155">
        <f t="shared" si="7"/>
        <v>9230760</v>
      </c>
      <c r="K11" s="89"/>
      <c r="L11" s="50">
        <v>45896</v>
      </c>
      <c r="M11" s="240"/>
      <c r="N11" s="239">
        <f t="shared" si="1"/>
        <v>9230760</v>
      </c>
      <c r="P11" s="65">
        <f t="shared" si="6"/>
        <v>0</v>
      </c>
      <c r="Q11" s="243"/>
      <c r="R11" s="15"/>
      <c r="S11" s="15"/>
      <c r="T11" s="15"/>
      <c r="U11" s="15"/>
    </row>
    <row r="12" s="1" customFormat="1" ht="17.6" spans="1:21">
      <c r="A12" s="14">
        <v>45820</v>
      </c>
      <c r="B12" s="14" t="s">
        <v>212</v>
      </c>
      <c r="C12" s="15" t="s">
        <v>98</v>
      </c>
      <c r="D12" s="155"/>
      <c r="E12" s="225">
        <v>28350000</v>
      </c>
      <c r="F12" s="155"/>
      <c r="G12" s="159"/>
      <c r="H12" s="162">
        <f t="shared" si="4"/>
        <v>28350000</v>
      </c>
      <c r="I12" s="155">
        <f t="shared" si="8"/>
        <v>3118500</v>
      </c>
      <c r="J12" s="155">
        <f t="shared" si="7"/>
        <v>31468500</v>
      </c>
      <c r="K12" s="89"/>
      <c r="L12" s="190">
        <v>45896</v>
      </c>
      <c r="M12" s="240"/>
      <c r="N12" s="239">
        <f t="shared" si="1"/>
        <v>31468500</v>
      </c>
      <c r="P12" s="65">
        <f t="shared" si="6"/>
        <v>0</v>
      </c>
      <c r="Q12" s="73"/>
      <c r="R12" s="15"/>
      <c r="S12" s="15"/>
      <c r="T12" s="15"/>
      <c r="U12" s="15"/>
    </row>
    <row r="13" s="1" customFormat="1" ht="17.6" spans="1:21">
      <c r="A13" s="14">
        <v>45824</v>
      </c>
      <c r="B13" s="14" t="s">
        <v>213</v>
      </c>
      <c r="C13" s="15" t="s">
        <v>57</v>
      </c>
      <c r="D13" s="155"/>
      <c r="E13" s="225">
        <v>27108500</v>
      </c>
      <c r="F13" s="155"/>
      <c r="G13" s="159"/>
      <c r="H13" s="162">
        <f t="shared" si="4"/>
        <v>27108500</v>
      </c>
      <c r="I13" s="155">
        <f t="shared" ref="I13:I20" si="9">H13*0.11</f>
        <v>2981935</v>
      </c>
      <c r="J13" s="155">
        <f t="shared" ref="J13:J20" si="10">H13+I13</f>
        <v>30090435</v>
      </c>
      <c r="K13" s="89"/>
      <c r="L13" s="190">
        <v>45867</v>
      </c>
      <c r="M13" s="240">
        <v>2000</v>
      </c>
      <c r="N13" s="239">
        <f t="shared" si="1"/>
        <v>30088435</v>
      </c>
      <c r="P13" s="65">
        <f t="shared" si="6"/>
        <v>0</v>
      </c>
      <c r="Q13" s="73"/>
      <c r="R13" s="15"/>
      <c r="S13" s="15"/>
      <c r="T13" s="15"/>
      <c r="U13" s="15"/>
    </row>
    <row r="14" s="1" customFormat="1" ht="17.6" spans="1:21">
      <c r="A14" s="14">
        <v>45825</v>
      </c>
      <c r="B14" s="14" t="s">
        <v>214</v>
      </c>
      <c r="C14" s="15" t="s">
        <v>40</v>
      </c>
      <c r="D14" s="155"/>
      <c r="E14" s="225"/>
      <c r="F14" s="155">
        <v>1567500</v>
      </c>
      <c r="G14" s="159"/>
      <c r="H14" s="162">
        <f t="shared" si="4"/>
        <v>1567500</v>
      </c>
      <c r="I14" s="155">
        <f t="shared" si="9"/>
        <v>172425</v>
      </c>
      <c r="J14" s="155">
        <f t="shared" si="10"/>
        <v>1739925</v>
      </c>
      <c r="K14" s="89"/>
      <c r="L14" s="190">
        <v>45862</v>
      </c>
      <c r="M14" s="240"/>
      <c r="N14" s="239">
        <f t="shared" si="1"/>
        <v>1739925</v>
      </c>
      <c r="P14" s="65">
        <f t="shared" si="6"/>
        <v>0</v>
      </c>
      <c r="Q14" s="73"/>
      <c r="R14" s="15"/>
      <c r="S14" s="15"/>
      <c r="T14" s="15"/>
      <c r="U14" s="15"/>
    </row>
    <row r="15" s="1" customFormat="1" ht="17.6" spans="1:21">
      <c r="A15" s="14">
        <v>45824</v>
      </c>
      <c r="B15" s="14" t="s">
        <v>215</v>
      </c>
      <c r="C15" s="15" t="s">
        <v>57</v>
      </c>
      <c r="D15" s="155"/>
      <c r="E15" s="225">
        <v>22100000</v>
      </c>
      <c r="F15" s="155"/>
      <c r="G15" s="159"/>
      <c r="H15" s="162">
        <f t="shared" si="4"/>
        <v>22100000</v>
      </c>
      <c r="I15" s="155">
        <f t="shared" si="9"/>
        <v>2431000</v>
      </c>
      <c r="J15" s="155">
        <f t="shared" si="10"/>
        <v>24531000</v>
      </c>
      <c r="K15" s="89"/>
      <c r="L15" s="190">
        <v>45867</v>
      </c>
      <c r="M15" s="240"/>
      <c r="N15" s="239">
        <f t="shared" si="1"/>
        <v>24531000</v>
      </c>
      <c r="P15" s="65">
        <f t="shared" si="6"/>
        <v>0</v>
      </c>
      <c r="Q15" s="73"/>
      <c r="R15" s="15"/>
      <c r="S15" s="15"/>
      <c r="T15" s="15"/>
      <c r="U15" s="15"/>
    </row>
    <row r="16" s="1" customFormat="1" ht="17.6" spans="1:21">
      <c r="A16" s="14">
        <v>45825</v>
      </c>
      <c r="B16" s="14" t="s">
        <v>216</v>
      </c>
      <c r="C16" s="15" t="s">
        <v>57</v>
      </c>
      <c r="D16" s="155"/>
      <c r="E16" s="225">
        <v>7069000</v>
      </c>
      <c r="F16" s="155"/>
      <c r="G16" s="159"/>
      <c r="H16" s="162">
        <f t="shared" si="4"/>
        <v>7069000</v>
      </c>
      <c r="I16" s="155">
        <f t="shared" si="9"/>
        <v>777590</v>
      </c>
      <c r="J16" s="155">
        <f t="shared" si="10"/>
        <v>7846590</v>
      </c>
      <c r="K16" s="89"/>
      <c r="L16" s="190">
        <v>45867</v>
      </c>
      <c r="M16" s="240"/>
      <c r="N16" s="239">
        <f t="shared" si="1"/>
        <v>7846590</v>
      </c>
      <c r="P16" s="65">
        <f t="shared" si="6"/>
        <v>0</v>
      </c>
      <c r="Q16" s="73">
        <f>P16+P17</f>
        <v>0</v>
      </c>
      <c r="R16" s="15"/>
      <c r="S16" s="15"/>
      <c r="T16" s="15"/>
      <c r="U16" s="15"/>
    </row>
    <row r="17" s="1" customFormat="1" ht="17.6" spans="1:21">
      <c r="A17" s="14">
        <v>45827</v>
      </c>
      <c r="B17" s="14" t="s">
        <v>217</v>
      </c>
      <c r="C17" s="15" t="s">
        <v>57</v>
      </c>
      <c r="D17" s="155"/>
      <c r="E17" s="225">
        <v>11500000</v>
      </c>
      <c r="F17" s="155"/>
      <c r="G17" s="159"/>
      <c r="H17" s="162">
        <f t="shared" si="4"/>
        <v>11500000</v>
      </c>
      <c r="I17" s="155">
        <f t="shared" si="9"/>
        <v>1265000</v>
      </c>
      <c r="J17" s="155">
        <f t="shared" si="10"/>
        <v>12765000</v>
      </c>
      <c r="K17" s="89"/>
      <c r="L17" s="190">
        <v>45867</v>
      </c>
      <c r="M17" s="240"/>
      <c r="N17" s="239">
        <f t="shared" si="1"/>
        <v>12765000</v>
      </c>
      <c r="P17" s="65">
        <f t="shared" si="6"/>
        <v>0</v>
      </c>
      <c r="Q17" s="73"/>
      <c r="R17" s="15"/>
      <c r="S17" s="15"/>
      <c r="T17" s="15"/>
      <c r="U17" s="15"/>
    </row>
    <row r="18" s="1" customFormat="1" ht="17.6" spans="1:21">
      <c r="A18" s="14">
        <v>45828</v>
      </c>
      <c r="B18" s="14" t="s">
        <v>218</v>
      </c>
      <c r="C18" s="15" t="s">
        <v>98</v>
      </c>
      <c r="D18" s="155"/>
      <c r="E18" s="225">
        <v>39000000</v>
      </c>
      <c r="F18" s="155"/>
      <c r="G18" s="159"/>
      <c r="H18" s="162">
        <f t="shared" si="4"/>
        <v>39000000</v>
      </c>
      <c r="I18" s="155">
        <f t="shared" si="9"/>
        <v>4290000</v>
      </c>
      <c r="J18" s="155">
        <f t="shared" si="10"/>
        <v>43290000</v>
      </c>
      <c r="K18" s="89"/>
      <c r="L18" s="190">
        <v>45896</v>
      </c>
      <c r="M18" s="240"/>
      <c r="N18" s="239">
        <f t="shared" si="1"/>
        <v>43290000</v>
      </c>
      <c r="P18" s="65">
        <f t="shared" si="6"/>
        <v>0</v>
      </c>
      <c r="Q18" s="73"/>
      <c r="R18" s="15"/>
      <c r="S18" s="15"/>
      <c r="T18" s="15"/>
      <c r="U18" s="15"/>
    </row>
    <row r="19" s="1" customFormat="1" ht="17.6" spans="1:21">
      <c r="A19" s="14">
        <v>45834</v>
      </c>
      <c r="B19" s="14" t="s">
        <v>219</v>
      </c>
      <c r="C19" s="15" t="s">
        <v>220</v>
      </c>
      <c r="D19" s="155"/>
      <c r="E19" s="225"/>
      <c r="F19" s="155">
        <v>41025000</v>
      </c>
      <c r="G19" s="159"/>
      <c r="H19" s="162">
        <f t="shared" si="4"/>
        <v>41025000</v>
      </c>
      <c r="I19" s="155">
        <f t="shared" si="9"/>
        <v>4512750</v>
      </c>
      <c r="J19" s="155">
        <f t="shared" si="10"/>
        <v>45537750</v>
      </c>
      <c r="K19" s="89"/>
      <c r="L19" s="190">
        <v>45866</v>
      </c>
      <c r="M19" s="240"/>
      <c r="N19" s="239">
        <f t="shared" si="1"/>
        <v>45537750</v>
      </c>
      <c r="P19" s="65">
        <f t="shared" si="6"/>
        <v>0</v>
      </c>
      <c r="Q19" s="73"/>
      <c r="R19" s="15"/>
      <c r="S19" s="15"/>
      <c r="T19" s="15"/>
      <c r="U19" s="15"/>
    </row>
    <row r="20" s="1" customFormat="1" ht="17.6" spans="1:21">
      <c r="A20" s="14">
        <v>45834</v>
      </c>
      <c r="B20" s="14" t="s">
        <v>221</v>
      </c>
      <c r="C20" s="15" t="s">
        <v>222</v>
      </c>
      <c r="D20" s="155"/>
      <c r="E20" s="225"/>
      <c r="F20" s="155">
        <v>48700800</v>
      </c>
      <c r="G20" s="159"/>
      <c r="H20" s="162">
        <f t="shared" si="4"/>
        <v>48700800</v>
      </c>
      <c r="I20" s="155">
        <f t="shared" si="9"/>
        <v>5357088</v>
      </c>
      <c r="J20" s="155">
        <f t="shared" si="10"/>
        <v>54057888</v>
      </c>
      <c r="K20" s="89"/>
      <c r="L20" s="190">
        <v>45869</v>
      </c>
      <c r="M20" s="240"/>
      <c r="N20" s="239">
        <f t="shared" si="1"/>
        <v>54057888</v>
      </c>
      <c r="P20" s="65">
        <f t="shared" si="6"/>
        <v>0</v>
      </c>
      <c r="Q20" s="73"/>
      <c r="R20" s="15"/>
      <c r="S20" s="15"/>
      <c r="T20" s="15"/>
      <c r="U20" s="15"/>
    </row>
    <row r="21" s="1" customFormat="1" ht="17.6" spans="1:21">
      <c r="A21" s="14">
        <v>45838</v>
      </c>
      <c r="B21" s="14" t="s">
        <v>223</v>
      </c>
      <c r="C21" s="15" t="s">
        <v>85</v>
      </c>
      <c r="D21" s="155"/>
      <c r="E21" s="159">
        <v>3480000</v>
      </c>
      <c r="F21" s="155"/>
      <c r="G21" s="159"/>
      <c r="H21" s="162">
        <f t="shared" si="4"/>
        <v>3480000</v>
      </c>
      <c r="I21" s="155">
        <f t="shared" si="8"/>
        <v>382800</v>
      </c>
      <c r="J21" s="155">
        <f t="shared" si="7"/>
        <v>3862800</v>
      </c>
      <c r="K21" s="89"/>
      <c r="L21" s="190">
        <v>45867</v>
      </c>
      <c r="M21" s="240"/>
      <c r="N21" s="239">
        <f t="shared" si="1"/>
        <v>3862800</v>
      </c>
      <c r="P21" s="65">
        <f t="shared" ref="P21:P23" si="11">J21-M21-N21</f>
        <v>0</v>
      </c>
      <c r="R21" s="15"/>
      <c r="S21" s="15"/>
      <c r="T21" s="15"/>
      <c r="U21" s="15"/>
    </row>
    <row r="22" s="1" customFormat="1" ht="17.6" spans="1:21">
      <c r="A22" s="14"/>
      <c r="B22" s="14"/>
      <c r="C22" s="15"/>
      <c r="D22" s="16"/>
      <c r="E22" s="31"/>
      <c r="F22" s="16"/>
      <c r="G22" s="31"/>
      <c r="H22" s="162">
        <f t="shared" si="4"/>
        <v>0</v>
      </c>
      <c r="I22" s="16">
        <f t="shared" si="8"/>
        <v>0</v>
      </c>
      <c r="J22" s="16">
        <f t="shared" si="7"/>
        <v>0</v>
      </c>
      <c r="K22" s="89"/>
      <c r="L22" s="190"/>
      <c r="M22" s="195"/>
      <c r="N22" s="239">
        <f t="shared" ref="N22" si="12">J22-M22</f>
        <v>0</v>
      </c>
      <c r="P22" s="65">
        <f t="shared" si="11"/>
        <v>0</v>
      </c>
      <c r="Q22" s="242"/>
      <c r="R22" s="15"/>
      <c r="S22" s="15"/>
      <c r="T22" s="15"/>
      <c r="U22" s="15"/>
    </row>
    <row r="23" s="1" customFormat="1" ht="17.6" spans="1:21">
      <c r="A23" s="119"/>
      <c r="B23" s="119"/>
      <c r="C23" s="120"/>
      <c r="E23" s="163"/>
      <c r="F23" s="156"/>
      <c r="G23" s="163"/>
      <c r="H23" s="162">
        <f t="shared" si="4"/>
        <v>0</v>
      </c>
      <c r="I23" s="156">
        <f t="shared" si="8"/>
        <v>0</v>
      </c>
      <c r="J23" s="156">
        <f t="shared" si="7"/>
        <v>0</v>
      </c>
      <c r="K23" s="89"/>
      <c r="L23" s="190"/>
      <c r="M23" s="240"/>
      <c r="N23" s="239">
        <v>0</v>
      </c>
      <c r="P23" s="65">
        <f t="shared" si="11"/>
        <v>0</v>
      </c>
      <c r="Q23" s="243"/>
      <c r="R23" s="15"/>
      <c r="S23" s="15"/>
      <c r="T23" s="167"/>
      <c r="U23" s="153"/>
    </row>
    <row r="24" ht="21.75" customHeight="1" spans="1:21">
      <c r="A24" s="157"/>
      <c r="B24" s="157"/>
      <c r="C24" s="158" t="s">
        <v>10</v>
      </c>
      <c r="D24" s="93">
        <f t="shared" ref="D24:J24" si="13">SUM(D6:D23)</f>
        <v>40125000</v>
      </c>
      <c r="E24" s="93">
        <f t="shared" si="13"/>
        <v>146923500</v>
      </c>
      <c r="F24" s="93">
        <f t="shared" si="13"/>
        <v>158923300</v>
      </c>
      <c r="G24" s="215">
        <f t="shared" si="13"/>
        <v>0</v>
      </c>
      <c r="H24" s="93">
        <f t="shared" si="13"/>
        <v>345971800</v>
      </c>
      <c r="I24" s="93">
        <f t="shared" si="13"/>
        <v>38056898</v>
      </c>
      <c r="J24" s="93">
        <f t="shared" si="13"/>
        <v>384028698</v>
      </c>
      <c r="L24" s="93"/>
      <c r="M24" s="38">
        <f>SUM(M9:M23)</f>
        <v>2000</v>
      </c>
      <c r="N24" s="38">
        <f>SUM(N9:N23)</f>
        <v>335292148</v>
      </c>
      <c r="P24" s="38">
        <f>SUM(P6:P23)</f>
        <v>0</v>
      </c>
      <c r="R24" s="38"/>
      <c r="S24" s="38"/>
      <c r="T24" s="38"/>
      <c r="U24" s="38"/>
    </row>
    <row r="25" spans="17:21">
      <c r="Q25" s="39"/>
      <c r="U25" s="74"/>
    </row>
    <row r="26" spans="10:17">
      <c r="J26" s="129"/>
      <c r="N26" s="129"/>
      <c r="Q26" s="39"/>
    </row>
    <row r="27" spans="10:17">
      <c r="J27" s="129"/>
      <c r="L27" s="129"/>
      <c r="N27" s="39"/>
      <c r="P27" s="74"/>
      <c r="Q27" s="74"/>
    </row>
    <row r="28" spans="8:17">
      <c r="H28" s="94"/>
      <c r="I28" s="229">
        <v>8.0593</v>
      </c>
      <c r="L28" s="94"/>
      <c r="N28" s="241"/>
      <c r="P28" s="74"/>
      <c r="Q28" s="39"/>
    </row>
    <row r="29" spans="8:17">
      <c r="H29" s="94"/>
      <c r="I29">
        <v>5.4467</v>
      </c>
      <c r="J29" s="55">
        <v>3999917</v>
      </c>
      <c r="L29" s="57"/>
      <c r="M29" s="57"/>
      <c r="N29" s="169"/>
      <c r="Q29" s="74"/>
    </row>
    <row r="30" spans="5:14">
      <c r="E30" t="s">
        <v>224</v>
      </c>
      <c r="F30" s="55">
        <v>1760000</v>
      </c>
      <c r="H30" s="94"/>
      <c r="I30" s="230"/>
      <c r="J30" s="55">
        <v>7499980</v>
      </c>
      <c r="N30" s="56"/>
    </row>
    <row r="31" spans="6:14">
      <c r="F31" s="55">
        <v>56261</v>
      </c>
      <c r="H31" s="94"/>
      <c r="J31" s="55">
        <f>SUM(J29:J30)</f>
        <v>11499897</v>
      </c>
      <c r="N31" s="57">
        <f>N6+N21</f>
        <v>47596050</v>
      </c>
    </row>
    <row r="32" spans="6:13">
      <c r="F32" s="55">
        <v>2435400</v>
      </c>
      <c r="J32" s="169">
        <f>J31/1771000</f>
        <v>6.49344833427442</v>
      </c>
      <c r="M32" s="39"/>
    </row>
    <row r="33" spans="6:13">
      <c r="F33" s="55">
        <v>82500</v>
      </c>
      <c r="J33" s="231">
        <f>I28+J32</f>
        <v>14.5527483342744</v>
      </c>
      <c r="M33" s="74"/>
    </row>
    <row r="34" spans="6:13">
      <c r="F34" s="55">
        <v>679250</v>
      </c>
      <c r="H34" s="94"/>
      <c r="M34" s="39"/>
    </row>
    <row r="35" spans="6:13">
      <c r="F35" s="55">
        <v>49550</v>
      </c>
      <c r="H35" s="94"/>
      <c r="M35" s="74"/>
    </row>
    <row r="36" spans="6:8">
      <c r="F36" s="55">
        <v>1155000</v>
      </c>
      <c r="H36" s="94"/>
    </row>
    <row r="37" spans="6:8">
      <c r="F37" s="55">
        <v>38847</v>
      </c>
      <c r="H37" s="94"/>
    </row>
    <row r="38" spans="6:8">
      <c r="F38" s="55">
        <v>42811</v>
      </c>
      <c r="H38" s="94"/>
    </row>
    <row r="39" spans="6:8">
      <c r="F39" s="55">
        <v>275000</v>
      </c>
      <c r="H39" s="94"/>
    </row>
    <row r="40" spans="6:8">
      <c r="F40" s="55">
        <v>3292207</v>
      </c>
      <c r="H40" s="94"/>
    </row>
    <row r="41" spans="6:8">
      <c r="F41" s="55">
        <v>192500</v>
      </c>
      <c r="H41" s="94"/>
    </row>
    <row r="42" spans="6:8">
      <c r="F42" s="55">
        <v>8493375</v>
      </c>
      <c r="H42" s="94"/>
    </row>
    <row r="43" spans="6:8">
      <c r="F43" s="55">
        <v>4015000</v>
      </c>
      <c r="H43" s="94"/>
    </row>
    <row r="44" spans="6:9">
      <c r="F44" s="55">
        <v>16060000</v>
      </c>
      <c r="H44" s="96"/>
      <c r="I44" s="96"/>
    </row>
    <row r="45" spans="6:6">
      <c r="F45" s="55">
        <v>6022500</v>
      </c>
    </row>
    <row r="46" spans="6:9">
      <c r="F46" s="55">
        <f>SUM(F30:F45)</f>
        <v>44650201</v>
      </c>
      <c r="I46" s="169">
        <f>I24-F46</f>
        <v>-6593303</v>
      </c>
    </row>
  </sheetData>
  <autoFilter xmlns:etc="http://www.wps.cn/officeDocument/2017/etCustomData" ref="C1:C30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7" right="0.7" top="0.75" bottom="0.75" header="0.3" footer="0.3"/>
  <pageSetup paperSize="1" orientation="portrait" horizontalDpi="360" verticalDpi="360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70"/>
  <sheetViews>
    <sheetView zoomScale="90" zoomScaleNormal="90" workbookViewId="0">
      <pane ySplit="5" topLeftCell="A6" activePane="bottomLeft" state="frozen"/>
      <selection/>
      <selection pane="bottomLeft" activeCell="F28" sqref="F28"/>
    </sheetView>
  </sheetViews>
  <sheetFormatPr defaultColWidth="9" defaultRowHeight="16.8"/>
  <cols>
    <col min="1" max="1" width="12.2890625" customWidth="1"/>
    <col min="2" max="2" width="20.4296875" customWidth="1"/>
    <col min="3" max="3" width="36.5703125" customWidth="1"/>
    <col min="4" max="4" width="15.4296875" customWidth="1"/>
    <col min="5" max="5" width="16.5703125" customWidth="1"/>
    <col min="6" max="6" width="14.4296875" customWidth="1"/>
    <col min="7" max="7" width="14.140625" customWidth="1"/>
    <col min="8" max="8" width="16.859375" customWidth="1"/>
    <col min="9" max="9" width="13.4296875" customWidth="1"/>
    <col min="10" max="10" width="14.859375" customWidth="1"/>
    <col min="11" max="11" width="5.5703125" customWidth="1"/>
    <col min="12" max="12" width="13.140625" customWidth="1"/>
    <col min="13" max="13" width="13.859375" customWidth="1"/>
    <col min="14" max="14" width="13.4296875" customWidth="1"/>
    <col min="15" max="15" width="5" customWidth="1"/>
    <col min="16" max="16" width="15" customWidth="1"/>
    <col min="18" max="18" width="23.5703125" customWidth="1"/>
    <col min="19" max="19" width="26.4296875" customWidth="1"/>
    <col min="21" max="21" width="10.5703125" customWidth="1"/>
  </cols>
  <sheetData>
    <row r="1" ht="17.6" spans="1:7">
      <c r="A1" s="2" t="s">
        <v>225</v>
      </c>
      <c r="B1" s="2"/>
      <c r="C1" s="1"/>
      <c r="D1" s="3"/>
      <c r="E1" s="25"/>
      <c r="F1" s="26"/>
      <c r="G1" s="27"/>
    </row>
    <row r="2" spans="1:7">
      <c r="A2" s="1"/>
      <c r="B2" s="1"/>
      <c r="C2" s="1"/>
      <c r="D2" s="3"/>
      <c r="E2" s="25"/>
      <c r="F2" s="1"/>
      <c r="G2" s="27"/>
    </row>
    <row r="3" spans="1:7">
      <c r="A3" s="4" t="s">
        <v>28</v>
      </c>
      <c r="B3" s="1"/>
      <c r="C3" s="1"/>
      <c r="D3" s="3"/>
      <c r="E3" s="25"/>
      <c r="F3" s="1"/>
      <c r="G3" s="27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L4" s="41" t="s">
        <v>32</v>
      </c>
      <c r="M4" s="41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L5" s="58"/>
      <c r="M5" s="58"/>
      <c r="N5" s="58"/>
      <c r="P5" s="41"/>
    </row>
    <row r="6" s="1" customFormat="1" ht="17.6" spans="1:21">
      <c r="A6" s="11">
        <v>45839</v>
      </c>
      <c r="B6" s="11" t="s">
        <v>226</v>
      </c>
      <c r="C6" s="12" t="s">
        <v>179</v>
      </c>
      <c r="D6" s="209">
        <v>80262000</v>
      </c>
      <c r="E6" s="140"/>
      <c r="F6" s="211"/>
      <c r="G6" s="140"/>
      <c r="H6" s="212">
        <f>SUM(D6:G6)</f>
        <v>80262000</v>
      </c>
      <c r="I6" s="217">
        <f>H6*0.11</f>
        <v>8828820</v>
      </c>
      <c r="J6" s="217">
        <f>H6+I6</f>
        <v>89090820</v>
      </c>
      <c r="K6" s="89"/>
      <c r="L6" s="190">
        <v>45880</v>
      </c>
      <c r="M6" s="174">
        <f>D6*0.02</f>
        <v>1605240</v>
      </c>
      <c r="N6" s="192">
        <f>J6-M6</f>
        <v>87485580</v>
      </c>
      <c r="P6" s="219">
        <f>J6-M6-N6</f>
        <v>0</v>
      </c>
      <c r="R6" s="151"/>
      <c r="S6" s="151"/>
      <c r="T6" s="151"/>
      <c r="U6" s="151"/>
    </row>
    <row r="7" s="1" customFormat="1" ht="17.6" spans="1:21">
      <c r="A7" s="210">
        <v>45842</v>
      </c>
      <c r="B7" s="210" t="s">
        <v>227</v>
      </c>
      <c r="C7" s="15" t="s">
        <v>98</v>
      </c>
      <c r="D7" s="177"/>
      <c r="E7" s="153"/>
      <c r="F7" s="177">
        <v>36100000</v>
      </c>
      <c r="G7" s="213"/>
      <c r="H7" s="182">
        <f t="shared" ref="H7:H30" si="0">SUM(D7:G7)</f>
        <v>36100000</v>
      </c>
      <c r="I7" s="188">
        <f t="shared" ref="I7:I30" si="1">H7*0.11</f>
        <v>3971000</v>
      </c>
      <c r="J7" s="188">
        <f>H7+I7</f>
        <v>40071000</v>
      </c>
      <c r="K7" s="89"/>
      <c r="L7" s="190">
        <v>45926</v>
      </c>
      <c r="M7" s="220"/>
      <c r="N7" s="150">
        <f>J7-M7</f>
        <v>40071000</v>
      </c>
      <c r="P7" s="153">
        <f>J7-M7-N7</f>
        <v>0</v>
      </c>
      <c r="R7" s="112"/>
      <c r="S7" s="112"/>
      <c r="T7" s="112"/>
      <c r="U7" s="112"/>
    </row>
    <row r="8" s="1" customFormat="1" ht="17.6" spans="1:21">
      <c r="A8" s="14">
        <v>45842</v>
      </c>
      <c r="B8" s="14" t="s">
        <v>228</v>
      </c>
      <c r="C8" s="15" t="s">
        <v>117</v>
      </c>
      <c r="D8" s="177"/>
      <c r="E8" s="153"/>
      <c r="F8" s="177">
        <v>11700000</v>
      </c>
      <c r="G8" s="153"/>
      <c r="H8" s="182">
        <f t="shared" si="0"/>
        <v>11700000</v>
      </c>
      <c r="I8" s="188">
        <f t="shared" si="1"/>
        <v>1287000</v>
      </c>
      <c r="J8" s="188">
        <f t="shared" ref="J8:J30" si="2">H8+I8</f>
        <v>12987000</v>
      </c>
      <c r="K8" s="89"/>
      <c r="L8" s="190">
        <v>45911</v>
      </c>
      <c r="M8" s="221"/>
      <c r="N8" s="150">
        <f>J8-M8</f>
        <v>12987000</v>
      </c>
      <c r="P8" s="153">
        <f t="shared" ref="P8:P30" si="3">J8-M8-N8</f>
        <v>0</v>
      </c>
      <c r="R8" s="112"/>
      <c r="S8" s="112"/>
      <c r="T8" s="112"/>
      <c r="U8" s="112"/>
    </row>
    <row r="9" s="1" customFormat="1" ht="17.6" spans="1:21">
      <c r="A9" s="14">
        <v>45842</v>
      </c>
      <c r="B9" s="14" t="s">
        <v>229</v>
      </c>
      <c r="C9" s="15" t="s">
        <v>98</v>
      </c>
      <c r="D9" s="177"/>
      <c r="E9" s="153">
        <v>28350000</v>
      </c>
      <c r="F9" s="177"/>
      <c r="G9" s="153"/>
      <c r="H9" s="182">
        <f t="shared" si="0"/>
        <v>28350000</v>
      </c>
      <c r="I9" s="188">
        <f t="shared" si="1"/>
        <v>3118500</v>
      </c>
      <c r="J9" s="188">
        <f t="shared" si="2"/>
        <v>31468500</v>
      </c>
      <c r="K9" s="89"/>
      <c r="L9" s="190">
        <v>45926</v>
      </c>
      <c r="M9" s="221"/>
      <c r="N9" s="150">
        <f>J9-M9</f>
        <v>31468500</v>
      </c>
      <c r="P9" s="153">
        <f t="shared" si="3"/>
        <v>0</v>
      </c>
      <c r="R9" s="112"/>
      <c r="S9" s="112"/>
      <c r="T9" s="112"/>
      <c r="U9" s="112"/>
    </row>
    <row r="10" s="1" customFormat="1" ht="17.6" spans="1:21">
      <c r="A10" s="14">
        <v>45842</v>
      </c>
      <c r="B10" s="14" t="s">
        <v>230</v>
      </c>
      <c r="C10" s="15" t="s">
        <v>172</v>
      </c>
      <c r="D10" s="177"/>
      <c r="E10" s="153">
        <v>174787750</v>
      </c>
      <c r="F10" s="177"/>
      <c r="G10" s="153"/>
      <c r="H10" s="182">
        <f t="shared" si="0"/>
        <v>174787750</v>
      </c>
      <c r="I10" s="188">
        <f t="shared" si="1"/>
        <v>19226652.5</v>
      </c>
      <c r="J10" s="188">
        <f t="shared" si="2"/>
        <v>194014402.5</v>
      </c>
      <c r="K10" s="89"/>
      <c r="L10" s="190">
        <v>45842</v>
      </c>
      <c r="M10" s="221"/>
      <c r="N10" s="150">
        <v>194014403</v>
      </c>
      <c r="P10" s="153">
        <v>0</v>
      </c>
      <c r="R10" s="112"/>
      <c r="S10" s="112"/>
      <c r="T10" s="112"/>
      <c r="U10" s="112"/>
    </row>
    <row r="11" s="1" customFormat="1" ht="17.6" spans="1:21">
      <c r="A11" s="14">
        <v>45847</v>
      </c>
      <c r="B11" s="14" t="s">
        <v>231</v>
      </c>
      <c r="C11" s="15" t="s">
        <v>232</v>
      </c>
      <c r="D11" s="177"/>
      <c r="E11" s="153"/>
      <c r="F11" s="177">
        <v>1100000</v>
      </c>
      <c r="G11" s="153"/>
      <c r="H11" s="182">
        <f t="shared" si="0"/>
        <v>1100000</v>
      </c>
      <c r="I11" s="188">
        <f t="shared" si="1"/>
        <v>121000</v>
      </c>
      <c r="J11" s="188">
        <f t="shared" ref="J11:J28" si="4">H11+I11</f>
        <v>1221000</v>
      </c>
      <c r="K11" s="89"/>
      <c r="L11" s="190">
        <v>45847</v>
      </c>
      <c r="M11" s="195"/>
      <c r="N11" s="150">
        <f>J11-M11</f>
        <v>1221000</v>
      </c>
      <c r="P11" s="153">
        <f t="shared" si="3"/>
        <v>0</v>
      </c>
      <c r="R11" s="112"/>
      <c r="S11" s="112"/>
      <c r="T11" s="112"/>
      <c r="U11" s="112"/>
    </row>
    <row r="12" s="1" customFormat="1" ht="17.6" spans="1:21">
      <c r="A12" s="14">
        <v>45847</v>
      </c>
      <c r="B12" s="14" t="s">
        <v>233</v>
      </c>
      <c r="C12" s="15" t="s">
        <v>52</v>
      </c>
      <c r="D12" s="177"/>
      <c r="E12" s="153"/>
      <c r="F12" s="177">
        <v>14205000</v>
      </c>
      <c r="G12" s="153"/>
      <c r="H12" s="182">
        <f t="shared" si="0"/>
        <v>14205000</v>
      </c>
      <c r="I12" s="188">
        <f t="shared" si="1"/>
        <v>1562550</v>
      </c>
      <c r="J12" s="188">
        <f t="shared" si="4"/>
        <v>15767550</v>
      </c>
      <c r="K12" s="89"/>
      <c r="L12" s="190">
        <v>45884</v>
      </c>
      <c r="M12" s="221"/>
      <c r="N12" s="150">
        <f>J12-M12</f>
        <v>15767550</v>
      </c>
      <c r="P12" s="153">
        <f t="shared" si="3"/>
        <v>0</v>
      </c>
      <c r="R12" s="112"/>
      <c r="S12" s="112"/>
      <c r="T12" s="112"/>
      <c r="U12" s="112"/>
    </row>
    <row r="13" s="1" customFormat="1" ht="17.6" spans="1:21">
      <c r="A13" s="14">
        <v>45847</v>
      </c>
      <c r="B13" s="14" t="s">
        <v>234</v>
      </c>
      <c r="C13" s="15" t="s">
        <v>232</v>
      </c>
      <c r="D13" s="177"/>
      <c r="E13" s="153"/>
      <c r="F13" s="177">
        <v>550000</v>
      </c>
      <c r="G13" s="153"/>
      <c r="H13" s="182">
        <f t="shared" si="0"/>
        <v>550000</v>
      </c>
      <c r="I13" s="188">
        <f t="shared" ref="I13:I28" si="5">H13*0.11</f>
        <v>60500</v>
      </c>
      <c r="J13" s="188">
        <f t="shared" si="4"/>
        <v>610500</v>
      </c>
      <c r="K13" s="89"/>
      <c r="L13" s="190">
        <v>45847</v>
      </c>
      <c r="M13" s="221"/>
      <c r="N13" s="150">
        <f t="shared" ref="N13:N15" si="6">J13-M13</f>
        <v>610500</v>
      </c>
      <c r="P13" s="153">
        <f t="shared" si="3"/>
        <v>0</v>
      </c>
      <c r="R13" s="112"/>
      <c r="S13" s="112"/>
      <c r="T13" s="112"/>
      <c r="U13" s="112"/>
    </row>
    <row r="14" s="1" customFormat="1" ht="17.6" spans="1:21">
      <c r="A14" s="14">
        <v>45842</v>
      </c>
      <c r="B14" s="14" t="s">
        <v>235</v>
      </c>
      <c r="C14" s="15" t="s">
        <v>172</v>
      </c>
      <c r="D14" s="177"/>
      <c r="E14" s="153">
        <v>174787750</v>
      </c>
      <c r="F14" s="177"/>
      <c r="G14" s="153"/>
      <c r="H14" s="182">
        <f t="shared" si="0"/>
        <v>174787750</v>
      </c>
      <c r="I14" s="188">
        <f t="shared" si="5"/>
        <v>19226652.5</v>
      </c>
      <c r="J14" s="188">
        <f t="shared" si="4"/>
        <v>194014402.5</v>
      </c>
      <c r="K14" s="89"/>
      <c r="L14" s="190">
        <v>45856</v>
      </c>
      <c r="M14" s="221"/>
      <c r="N14" s="150">
        <f t="shared" si="6"/>
        <v>194014402.5</v>
      </c>
      <c r="P14" s="153">
        <f t="shared" si="3"/>
        <v>0</v>
      </c>
      <c r="R14" s="112"/>
      <c r="S14" s="112"/>
      <c r="T14" s="112"/>
      <c r="U14" s="112"/>
    </row>
    <row r="15" s="1" customFormat="1" ht="17.6" spans="1:21">
      <c r="A15" s="14">
        <v>45856</v>
      </c>
      <c r="B15" s="14" t="s">
        <v>236</v>
      </c>
      <c r="C15" s="15" t="s">
        <v>98</v>
      </c>
      <c r="D15" s="177"/>
      <c r="E15" s="153">
        <v>30600000</v>
      </c>
      <c r="F15" s="177"/>
      <c r="G15" s="153"/>
      <c r="H15" s="182">
        <f t="shared" si="0"/>
        <v>30600000</v>
      </c>
      <c r="I15" s="188">
        <f t="shared" si="5"/>
        <v>3366000</v>
      </c>
      <c r="J15" s="188">
        <f t="shared" si="4"/>
        <v>33966000</v>
      </c>
      <c r="K15" s="89"/>
      <c r="L15" s="190">
        <v>45926</v>
      </c>
      <c r="M15" s="221"/>
      <c r="N15" s="150">
        <f t="shared" si="6"/>
        <v>33966000</v>
      </c>
      <c r="P15" s="153">
        <f t="shared" si="3"/>
        <v>0</v>
      </c>
      <c r="R15" s="112"/>
      <c r="S15" s="112"/>
      <c r="T15" s="112"/>
      <c r="U15" s="112"/>
    </row>
    <row r="16" s="1" customFormat="1" ht="17.6" spans="1:21">
      <c r="A16" s="14">
        <v>45855</v>
      </c>
      <c r="B16" s="14" t="s">
        <v>237</v>
      </c>
      <c r="C16" s="15" t="s">
        <v>186</v>
      </c>
      <c r="D16" s="177"/>
      <c r="E16" s="153"/>
      <c r="F16" s="177">
        <v>4628000</v>
      </c>
      <c r="G16" s="153"/>
      <c r="H16" s="182">
        <f t="shared" si="0"/>
        <v>4628000</v>
      </c>
      <c r="I16" s="188">
        <f t="shared" si="5"/>
        <v>509080</v>
      </c>
      <c r="J16" s="188">
        <f t="shared" si="4"/>
        <v>5137080</v>
      </c>
      <c r="K16" s="89"/>
      <c r="L16" s="190">
        <v>45855</v>
      </c>
      <c r="M16" s="195"/>
      <c r="N16" s="150">
        <f t="shared" ref="N16:N18" si="7">J16-M16</f>
        <v>5137080</v>
      </c>
      <c r="P16" s="153">
        <f t="shared" si="3"/>
        <v>0</v>
      </c>
      <c r="R16" s="112"/>
      <c r="S16" s="112"/>
      <c r="T16" s="112"/>
      <c r="U16" s="112"/>
    </row>
    <row r="17" s="1" customFormat="1" ht="17.6" spans="1:21">
      <c r="A17" s="14">
        <v>45859</v>
      </c>
      <c r="B17" s="14" t="s">
        <v>238</v>
      </c>
      <c r="C17" s="15" t="s">
        <v>172</v>
      </c>
      <c r="D17" s="177"/>
      <c r="E17" s="153">
        <v>9457000</v>
      </c>
      <c r="F17" s="177"/>
      <c r="G17" s="153"/>
      <c r="H17" s="182">
        <f t="shared" si="0"/>
        <v>9457000</v>
      </c>
      <c r="I17" s="188">
        <f t="shared" si="5"/>
        <v>1040270</v>
      </c>
      <c r="J17" s="188">
        <f t="shared" si="4"/>
        <v>10497270</v>
      </c>
      <c r="K17" s="89"/>
      <c r="L17" s="190">
        <v>45859</v>
      </c>
      <c r="M17" s="195"/>
      <c r="N17" s="150">
        <f t="shared" si="7"/>
        <v>10497270</v>
      </c>
      <c r="P17" s="153">
        <f t="shared" si="3"/>
        <v>0</v>
      </c>
      <c r="R17" s="112"/>
      <c r="S17" s="112"/>
      <c r="T17" s="112"/>
      <c r="U17" s="112"/>
    </row>
    <row r="18" s="1" customFormat="1" ht="17.6" spans="1:21">
      <c r="A18" s="14">
        <v>45859</v>
      </c>
      <c r="B18" s="14" t="s">
        <v>239</v>
      </c>
      <c r="C18" s="15" t="s">
        <v>172</v>
      </c>
      <c r="D18" s="177"/>
      <c r="E18" s="153">
        <v>9457000</v>
      </c>
      <c r="F18" s="177"/>
      <c r="G18" s="153"/>
      <c r="H18" s="182">
        <f t="shared" si="0"/>
        <v>9457000</v>
      </c>
      <c r="I18" s="188">
        <f t="shared" si="5"/>
        <v>1040270</v>
      </c>
      <c r="J18" s="188">
        <f t="shared" si="4"/>
        <v>10497270</v>
      </c>
      <c r="K18" s="89"/>
      <c r="L18" s="190">
        <v>45925</v>
      </c>
      <c r="M18" s="221"/>
      <c r="N18" s="150">
        <f t="shared" si="7"/>
        <v>10497270</v>
      </c>
      <c r="P18" s="153">
        <f t="shared" si="3"/>
        <v>0</v>
      </c>
      <c r="R18" s="112"/>
      <c r="S18" s="112"/>
      <c r="T18" s="112"/>
      <c r="U18" s="112"/>
    </row>
    <row r="19" s="1" customFormat="1" ht="17.6" spans="1:21">
      <c r="A19" s="14">
        <v>45862</v>
      </c>
      <c r="B19" s="14" t="s">
        <v>240</v>
      </c>
      <c r="C19" s="15" t="s">
        <v>42</v>
      </c>
      <c r="D19" s="177"/>
      <c r="E19" s="153"/>
      <c r="F19" s="177">
        <v>44000000</v>
      </c>
      <c r="G19" s="153"/>
      <c r="H19" s="182">
        <f t="shared" si="0"/>
        <v>44000000</v>
      </c>
      <c r="I19" s="188">
        <f t="shared" si="5"/>
        <v>4840000</v>
      </c>
      <c r="J19" s="188">
        <f t="shared" si="4"/>
        <v>48840000</v>
      </c>
      <c r="K19" s="89"/>
      <c r="L19" s="190">
        <v>45898</v>
      </c>
      <c r="M19" s="222">
        <v>1000</v>
      </c>
      <c r="N19" s="150">
        <f t="shared" ref="N19:N24" si="8">J19-M19</f>
        <v>48839000</v>
      </c>
      <c r="P19" s="153">
        <f t="shared" si="3"/>
        <v>0</v>
      </c>
      <c r="R19" s="112"/>
      <c r="S19" s="112"/>
      <c r="T19" s="112"/>
      <c r="U19" s="112"/>
    </row>
    <row r="20" s="1" customFormat="1" ht="17.6" spans="1:21">
      <c r="A20" s="14">
        <v>45862</v>
      </c>
      <c r="B20" s="14" t="s">
        <v>241</v>
      </c>
      <c r="C20" s="15" t="s">
        <v>42</v>
      </c>
      <c r="D20" s="177"/>
      <c r="E20" s="153"/>
      <c r="F20" s="177">
        <v>587400000</v>
      </c>
      <c r="G20" s="153"/>
      <c r="H20" s="182">
        <f t="shared" si="0"/>
        <v>587400000</v>
      </c>
      <c r="I20" s="188">
        <f t="shared" si="5"/>
        <v>64614000</v>
      </c>
      <c r="J20" s="188">
        <f t="shared" si="4"/>
        <v>652014000</v>
      </c>
      <c r="K20" s="89"/>
      <c r="L20" s="190">
        <v>45898</v>
      </c>
      <c r="M20" s="221"/>
      <c r="N20" s="150">
        <f t="shared" si="8"/>
        <v>652014000</v>
      </c>
      <c r="P20" s="153">
        <f t="shared" si="3"/>
        <v>0</v>
      </c>
      <c r="R20" s="112"/>
      <c r="S20" s="112"/>
      <c r="T20" s="112"/>
      <c r="U20" s="112"/>
    </row>
    <row r="21" s="1" customFormat="1" ht="17.6" spans="1:21">
      <c r="A21" s="14">
        <v>45866</v>
      </c>
      <c r="B21" s="14" t="s">
        <v>242</v>
      </c>
      <c r="C21" s="15" t="s">
        <v>57</v>
      </c>
      <c r="D21" s="177"/>
      <c r="E21" s="153">
        <v>15115000</v>
      </c>
      <c r="F21" s="177"/>
      <c r="G21" s="153"/>
      <c r="H21" s="182">
        <f t="shared" ref="H21:H23" si="9">SUM(D21:G21)</f>
        <v>15115000</v>
      </c>
      <c r="I21" s="188">
        <f t="shared" ref="I21:I23" si="10">H21*0.11</f>
        <v>1662650</v>
      </c>
      <c r="J21" s="188">
        <f t="shared" ref="J21:J23" si="11">H21+I21</f>
        <v>16777650</v>
      </c>
      <c r="K21" s="89"/>
      <c r="L21" s="190">
        <v>45898</v>
      </c>
      <c r="M21" s="222">
        <v>2000</v>
      </c>
      <c r="N21" s="150">
        <f t="shared" si="8"/>
        <v>16775650</v>
      </c>
      <c r="P21" s="153">
        <f t="shared" si="3"/>
        <v>0</v>
      </c>
      <c r="R21" s="112"/>
      <c r="S21" s="112"/>
      <c r="T21" s="112"/>
      <c r="U21" s="112"/>
    </row>
    <row r="22" s="1" customFormat="1" ht="17.6" spans="1:21">
      <c r="A22" s="14">
        <v>45866</v>
      </c>
      <c r="B22" s="14" t="s">
        <v>243</v>
      </c>
      <c r="C22" s="15" t="s">
        <v>57</v>
      </c>
      <c r="D22" s="177"/>
      <c r="E22" s="153">
        <v>963000</v>
      </c>
      <c r="F22" s="177"/>
      <c r="G22" s="153"/>
      <c r="H22" s="182">
        <f t="shared" si="9"/>
        <v>963000</v>
      </c>
      <c r="I22" s="188">
        <f t="shared" si="10"/>
        <v>105930</v>
      </c>
      <c r="J22" s="188">
        <f t="shared" si="11"/>
        <v>1068930</v>
      </c>
      <c r="K22" s="89"/>
      <c r="L22" s="190">
        <v>45898</v>
      </c>
      <c r="M22" s="221"/>
      <c r="N22" s="150">
        <f t="shared" si="8"/>
        <v>1068930</v>
      </c>
      <c r="P22" s="153">
        <f t="shared" si="3"/>
        <v>0</v>
      </c>
      <c r="R22" s="112"/>
      <c r="S22" s="112"/>
      <c r="T22" s="112"/>
      <c r="U22" s="112"/>
    </row>
    <row r="23" s="1" customFormat="1" ht="17.6" spans="1:21">
      <c r="A23" s="14">
        <v>45866</v>
      </c>
      <c r="B23" s="14" t="s">
        <v>244</v>
      </c>
      <c r="C23" s="15" t="s">
        <v>57</v>
      </c>
      <c r="D23" s="177"/>
      <c r="E23" s="153">
        <v>18150000</v>
      </c>
      <c r="F23" s="177"/>
      <c r="G23" s="153"/>
      <c r="H23" s="182">
        <f t="shared" si="9"/>
        <v>18150000</v>
      </c>
      <c r="I23" s="188">
        <f t="shared" si="10"/>
        <v>1996500</v>
      </c>
      <c r="J23" s="188">
        <f t="shared" si="11"/>
        <v>20146500</v>
      </c>
      <c r="K23" s="89"/>
      <c r="L23" s="190">
        <v>45898</v>
      </c>
      <c r="M23" s="222"/>
      <c r="N23" s="150">
        <f t="shared" si="8"/>
        <v>20146500</v>
      </c>
      <c r="P23" s="153">
        <f t="shared" si="3"/>
        <v>0</v>
      </c>
      <c r="R23" s="112"/>
      <c r="S23" s="112"/>
      <c r="T23" s="112"/>
      <c r="U23" s="112"/>
    </row>
    <row r="24" s="1" customFormat="1" ht="17.6" spans="1:21">
      <c r="A24" s="14">
        <v>45861</v>
      </c>
      <c r="B24" s="14" t="s">
        <v>245</v>
      </c>
      <c r="C24" s="15" t="s">
        <v>143</v>
      </c>
      <c r="D24" s="177"/>
      <c r="E24" s="153"/>
      <c r="F24" s="177">
        <v>25300000</v>
      </c>
      <c r="G24" s="153"/>
      <c r="H24" s="182">
        <f t="shared" ref="H24" si="12">SUM(D24:G24)</f>
        <v>25300000</v>
      </c>
      <c r="I24" s="188">
        <f t="shared" ref="I24" si="13">H24*0.11</f>
        <v>2783000</v>
      </c>
      <c r="J24" s="188">
        <f t="shared" ref="J24" si="14">H24+I24</f>
        <v>28083000</v>
      </c>
      <c r="K24" s="89"/>
      <c r="L24" s="190">
        <v>45910</v>
      </c>
      <c r="M24" s="221"/>
      <c r="N24" s="150">
        <f t="shared" si="8"/>
        <v>28083000</v>
      </c>
      <c r="P24" s="153">
        <f t="shared" si="3"/>
        <v>0</v>
      </c>
      <c r="R24" s="112"/>
      <c r="S24" s="112"/>
      <c r="T24" s="112"/>
      <c r="U24" s="112"/>
    </row>
    <row r="25" s="1" customFormat="1" ht="17.6" spans="1:21">
      <c r="A25" s="14"/>
      <c r="B25" s="14"/>
      <c r="C25" s="15"/>
      <c r="D25" s="177"/>
      <c r="E25" s="153"/>
      <c r="F25" s="177"/>
      <c r="G25" s="153"/>
      <c r="H25" s="182"/>
      <c r="I25" s="188"/>
      <c r="J25" s="188"/>
      <c r="K25" s="89"/>
      <c r="L25" s="190"/>
      <c r="M25" s="221"/>
      <c r="N25" s="150"/>
      <c r="P25" s="153">
        <f t="shared" si="3"/>
        <v>0</v>
      </c>
      <c r="R25" s="112"/>
      <c r="S25" s="112"/>
      <c r="T25" s="112"/>
      <c r="U25" s="112"/>
    </row>
    <row r="26" s="1" customFormat="1" ht="17.6" spans="1:21">
      <c r="A26" s="14"/>
      <c r="B26" s="14"/>
      <c r="C26" s="15"/>
      <c r="D26" s="177"/>
      <c r="E26" s="153"/>
      <c r="F26" s="177"/>
      <c r="G26" s="153"/>
      <c r="H26" s="182"/>
      <c r="I26" s="188"/>
      <c r="J26" s="188"/>
      <c r="K26" s="89"/>
      <c r="L26" s="190"/>
      <c r="M26" s="221"/>
      <c r="N26" s="150"/>
      <c r="P26" s="153">
        <f t="shared" si="3"/>
        <v>0</v>
      </c>
      <c r="R26" s="112"/>
      <c r="S26" s="112"/>
      <c r="T26" s="112"/>
      <c r="U26" s="112"/>
    </row>
    <row r="27" s="1" customFormat="1" ht="17.6" spans="1:21">
      <c r="A27" s="14"/>
      <c r="B27" s="14"/>
      <c r="C27" s="15"/>
      <c r="D27" s="177"/>
      <c r="E27" s="153"/>
      <c r="F27" s="177"/>
      <c r="G27" s="153"/>
      <c r="H27" s="182">
        <f t="shared" si="0"/>
        <v>0</v>
      </c>
      <c r="I27" s="188">
        <v>0</v>
      </c>
      <c r="J27" s="188">
        <f t="shared" si="4"/>
        <v>0</v>
      </c>
      <c r="K27" s="89"/>
      <c r="L27" s="190"/>
      <c r="M27" s="221"/>
      <c r="N27" s="150">
        <v>0</v>
      </c>
      <c r="P27" s="153">
        <f t="shared" si="3"/>
        <v>0</v>
      </c>
      <c r="R27" s="112"/>
      <c r="S27" s="112"/>
      <c r="T27" s="112"/>
      <c r="U27" s="112"/>
    </row>
    <row r="28" s="1" customFormat="1" ht="17.6" spans="1:21">
      <c r="A28" s="14"/>
      <c r="B28" s="14"/>
      <c r="C28" s="15"/>
      <c r="D28" s="177"/>
      <c r="E28" s="153"/>
      <c r="F28" s="177"/>
      <c r="G28" s="153"/>
      <c r="H28" s="182">
        <f t="shared" si="0"/>
        <v>0</v>
      </c>
      <c r="I28" s="188">
        <f t="shared" si="5"/>
        <v>0</v>
      </c>
      <c r="J28" s="188">
        <f t="shared" si="4"/>
        <v>0</v>
      </c>
      <c r="K28" s="89"/>
      <c r="L28" s="190"/>
      <c r="M28" s="196"/>
      <c r="N28" s="150">
        <f>J28-M28</f>
        <v>0</v>
      </c>
      <c r="P28" s="153">
        <f t="shared" si="3"/>
        <v>0</v>
      </c>
      <c r="R28" s="112"/>
      <c r="S28" s="112"/>
      <c r="T28" s="112"/>
      <c r="U28" s="112"/>
    </row>
    <row r="29" s="1" customFormat="1" ht="17.6" spans="1:21">
      <c r="A29" s="14"/>
      <c r="B29" s="14"/>
      <c r="C29" s="15"/>
      <c r="D29" s="177"/>
      <c r="E29" s="153"/>
      <c r="F29" s="177"/>
      <c r="G29" s="153"/>
      <c r="H29" s="182">
        <f t="shared" si="0"/>
        <v>0</v>
      </c>
      <c r="I29" s="188">
        <f t="shared" si="1"/>
        <v>0</v>
      </c>
      <c r="J29" s="188">
        <f t="shared" si="2"/>
        <v>0</v>
      </c>
      <c r="K29" s="89"/>
      <c r="L29" s="190"/>
      <c r="M29" s="223">
        <v>0</v>
      </c>
      <c r="N29" s="150">
        <f t="shared" ref="N29:N30" si="15">J29-M29</f>
        <v>0</v>
      </c>
      <c r="P29" s="153">
        <f t="shared" si="3"/>
        <v>0</v>
      </c>
      <c r="R29" s="112"/>
      <c r="S29" s="112"/>
      <c r="T29" s="112"/>
      <c r="U29" s="112"/>
    </row>
    <row r="30" s="1" customFormat="1" ht="17.6" spans="1:21">
      <c r="A30" s="119"/>
      <c r="B30" s="119"/>
      <c r="C30" s="120"/>
      <c r="D30" s="178"/>
      <c r="E30" s="183"/>
      <c r="F30" s="178"/>
      <c r="G30" s="183"/>
      <c r="H30" s="214">
        <f t="shared" si="0"/>
        <v>0</v>
      </c>
      <c r="I30" s="218">
        <f t="shared" si="1"/>
        <v>0</v>
      </c>
      <c r="J30" s="189">
        <f t="shared" si="2"/>
        <v>0</v>
      </c>
      <c r="K30" s="89"/>
      <c r="L30" s="166"/>
      <c r="M30" s="174">
        <f>D30*0.02</f>
        <v>0</v>
      </c>
      <c r="N30" s="150">
        <f t="shared" si="15"/>
        <v>0</v>
      </c>
      <c r="P30" s="153">
        <f t="shared" si="3"/>
        <v>0</v>
      </c>
      <c r="R30" s="15"/>
      <c r="S30" s="15"/>
      <c r="T30" s="152"/>
      <c r="U30" s="224">
        <f>M30</f>
        <v>0</v>
      </c>
    </row>
    <row r="31" ht="21.75" customHeight="1" spans="1:21">
      <c r="A31" s="157"/>
      <c r="B31" s="157"/>
      <c r="C31" s="158" t="s">
        <v>10</v>
      </c>
      <c r="D31" s="93">
        <f>SUM(D6:D30)</f>
        <v>80262000</v>
      </c>
      <c r="E31" s="93">
        <f>SUM(E6:E30)</f>
        <v>461667500</v>
      </c>
      <c r="F31" s="93">
        <f>SUM(F6:F30)</f>
        <v>724983000</v>
      </c>
      <c r="G31" s="215">
        <f t="shared" ref="G31:J31" si="16">SUM(G6:G30)</f>
        <v>0</v>
      </c>
      <c r="H31" s="93">
        <f t="shared" si="16"/>
        <v>1266912500</v>
      </c>
      <c r="I31" s="93">
        <f t="shared" si="16"/>
        <v>139360375</v>
      </c>
      <c r="J31" s="93">
        <f t="shared" si="16"/>
        <v>1406272875</v>
      </c>
      <c r="L31" s="93"/>
      <c r="M31" s="38">
        <f>SUM(M6:M30)</f>
        <v>1608240</v>
      </c>
      <c r="N31" s="38">
        <f>SUM(N6:N30)</f>
        <v>1404664635.5</v>
      </c>
      <c r="O31" s="1"/>
      <c r="P31" s="38">
        <f>SUM(P6:P30)</f>
        <v>0</v>
      </c>
      <c r="R31" s="38">
        <f>SUM(R6:R30)</f>
        <v>0</v>
      </c>
      <c r="S31" s="38">
        <f>SUM(S6:S30)</f>
        <v>0</v>
      </c>
      <c r="T31" s="38"/>
      <c r="U31" s="38">
        <f>SUM(U6:U30)</f>
        <v>0</v>
      </c>
    </row>
    <row r="32" spans="21:21">
      <c r="U32" s="74">
        <f>M31-U31</f>
        <v>1608240</v>
      </c>
    </row>
    <row r="33" spans="9:18">
      <c r="I33" s="39">
        <v>8985803</v>
      </c>
      <c r="J33" s="74"/>
      <c r="M33" s="74"/>
      <c r="P33" s="74"/>
      <c r="R33" s="74"/>
    </row>
    <row r="34" spans="8:12">
      <c r="H34" s="39">
        <v>36300000</v>
      </c>
      <c r="J34" s="94"/>
      <c r="L34" s="74"/>
    </row>
    <row r="35" spans="8:16">
      <c r="H35" s="39">
        <v>2461800</v>
      </c>
      <c r="I35" s="94"/>
      <c r="P35" s="74"/>
    </row>
    <row r="36" spans="8:16">
      <c r="H36" s="39">
        <v>1980000</v>
      </c>
      <c r="I36" s="94"/>
      <c r="P36" s="74"/>
    </row>
    <row r="37" spans="8:13">
      <c r="H37" s="39">
        <v>2435400</v>
      </c>
      <c r="M37" s="39"/>
    </row>
    <row r="38" spans="8:13">
      <c r="H38" s="39">
        <v>187000</v>
      </c>
      <c r="J38" s="74">
        <f>J19+J20</f>
        <v>700854000</v>
      </c>
      <c r="M38" s="39"/>
    </row>
    <row r="39" spans="8:13">
      <c r="H39" s="39">
        <v>2200000</v>
      </c>
      <c r="J39" s="74">
        <f>J21+J22+J23</f>
        <v>37993080</v>
      </c>
      <c r="M39" s="39"/>
    </row>
    <row r="40" spans="8:13">
      <c r="H40" s="39">
        <v>935000</v>
      </c>
      <c r="M40" s="39"/>
    </row>
    <row r="41" spans="8:13">
      <c r="H41" s="39">
        <v>1760000</v>
      </c>
      <c r="M41" s="74"/>
    </row>
    <row r="42" spans="8:13">
      <c r="H42" s="216">
        <v>26955</v>
      </c>
      <c r="I42" s="94"/>
      <c r="M42" s="39"/>
    </row>
    <row r="43" spans="8:13">
      <c r="H43" s="39">
        <f>SUM(H34:H42)</f>
        <v>48286155</v>
      </c>
      <c r="M43" s="39"/>
    </row>
    <row r="44" spans="8:13">
      <c r="H44" s="94"/>
      <c r="M44" s="39"/>
    </row>
    <row r="45" spans="8:13">
      <c r="H45" s="94"/>
      <c r="I45" s="96">
        <f>I33+H43</f>
        <v>57271958</v>
      </c>
      <c r="M45" s="39"/>
    </row>
    <row r="46" spans="8:13">
      <c r="H46" s="94"/>
      <c r="I46" s="96">
        <f>I31-I45</f>
        <v>82088417</v>
      </c>
      <c r="M46" s="74"/>
    </row>
    <row r="47" spans="8:9">
      <c r="H47" s="94"/>
      <c r="I47">
        <v>127276821</v>
      </c>
    </row>
    <row r="48" spans="8:9">
      <c r="H48" s="94"/>
      <c r="I48" s="94">
        <f>I47-I46</f>
        <v>45188404</v>
      </c>
    </row>
    <row r="49" spans="8:8">
      <c r="H49" s="94"/>
    </row>
    <row r="50" spans="8:9">
      <c r="H50" s="94"/>
      <c r="I50" s="94"/>
    </row>
    <row r="51" spans="8:8">
      <c r="H51" s="94"/>
    </row>
    <row r="52" spans="8:8">
      <c r="H52" s="94"/>
    </row>
    <row r="53" spans="8:8">
      <c r="H53" s="94"/>
    </row>
    <row r="54" spans="8:8">
      <c r="H54" s="94"/>
    </row>
    <row r="55" spans="8:8">
      <c r="H55" s="94"/>
    </row>
    <row r="56" spans="8:8">
      <c r="H56" s="94"/>
    </row>
    <row r="57" spans="8:8">
      <c r="H57" s="94"/>
    </row>
    <row r="58" spans="8:8">
      <c r="H58" s="94"/>
    </row>
    <row r="59" spans="9:9">
      <c r="I59" s="94"/>
    </row>
    <row r="60" spans="8:9">
      <c r="H60" s="94"/>
      <c r="I60" s="96"/>
    </row>
    <row r="61" spans="8:8">
      <c r="H61" s="94"/>
    </row>
    <row r="62" spans="8:8">
      <c r="H62" s="94"/>
    </row>
    <row r="63" spans="8:8">
      <c r="H63" s="94"/>
    </row>
    <row r="64" spans="8:8">
      <c r="H64" s="94"/>
    </row>
    <row r="65" spans="8:8">
      <c r="H65" s="94"/>
    </row>
    <row r="66" spans="8:8">
      <c r="H66" s="94"/>
    </row>
    <row r="67" spans="8:8">
      <c r="H67" s="94"/>
    </row>
    <row r="68" spans="8:8">
      <c r="H68" s="94"/>
    </row>
    <row r="69" spans="8:9">
      <c r="H69" s="96"/>
      <c r="I69" s="96"/>
    </row>
    <row r="70" spans="8:9">
      <c r="H70" s="208"/>
      <c r="I70" s="96"/>
    </row>
  </sheetData>
  <autoFilter xmlns:etc="http://www.wps.cn/officeDocument/2017/etCustomData" ref="P1:P31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7" right="0.7" top="0.75" bottom="0.75" header="0.3" footer="0.3"/>
  <pageSetup paperSize="1" orientation="portrait" horizontalDpi="360" verticalDpi="360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filterMode="1"/>
  <dimension ref="A1:U71"/>
  <sheetViews>
    <sheetView workbookViewId="0">
      <pane ySplit="6" topLeftCell="A7" activePane="bottomLeft" state="frozen"/>
      <selection/>
      <selection pane="bottomLeft" activeCell="N16" sqref="N16"/>
    </sheetView>
  </sheetViews>
  <sheetFormatPr defaultColWidth="9" defaultRowHeight="16.8"/>
  <cols>
    <col min="1" max="1" width="12.2890625" customWidth="1"/>
    <col min="2" max="2" width="18.7109375" customWidth="1"/>
    <col min="3" max="3" width="36.5703125" customWidth="1"/>
    <col min="4" max="4" width="15.4296875" customWidth="1"/>
    <col min="5" max="5" width="15.2890625" customWidth="1"/>
    <col min="6" max="6" width="14.4296875" customWidth="1"/>
    <col min="7" max="7" width="14.5703125" customWidth="1"/>
    <col min="8" max="8" width="19.7109375" customWidth="1"/>
    <col min="9" max="9" width="15.2890625" customWidth="1"/>
    <col min="10" max="10" width="14.859375" customWidth="1"/>
    <col min="11" max="11" width="3.859375" customWidth="1"/>
    <col min="12" max="12" width="14.2890625" customWidth="1"/>
    <col min="13" max="13" width="12.4296875" customWidth="1"/>
    <col min="14" max="14" width="15.4296875" customWidth="1"/>
    <col min="15" max="15" width="3.2890625" customWidth="1"/>
    <col min="16" max="16" width="14.4296875" customWidth="1"/>
    <col min="18" max="18" width="32.859375" customWidth="1"/>
    <col min="19" max="19" width="11" customWidth="1"/>
    <col min="21" max="21" width="10.5703125" customWidth="1"/>
  </cols>
  <sheetData>
    <row r="1" ht="17.6" spans="1:7">
      <c r="A1" s="2" t="s">
        <v>246</v>
      </c>
      <c r="B1" s="2"/>
      <c r="C1" s="1"/>
      <c r="D1" s="3"/>
      <c r="E1" s="25"/>
      <c r="F1" s="26"/>
      <c r="G1" s="27"/>
    </row>
    <row r="2" spans="1:14">
      <c r="A2" s="1"/>
      <c r="B2" s="1"/>
      <c r="C2" s="1"/>
      <c r="D2" s="3"/>
      <c r="E2" s="25"/>
      <c r="F2" s="1"/>
      <c r="G2" s="27"/>
      <c r="J2" s="74">
        <f>J10+J11+J14+J24+J31</f>
        <v>278739315</v>
      </c>
      <c r="M2" s="74"/>
      <c r="N2" s="74"/>
    </row>
    <row r="3" spans="1:14">
      <c r="A3" s="4" t="s">
        <v>28</v>
      </c>
      <c r="B3" s="1"/>
      <c r="C3" s="1"/>
      <c r="D3" s="3"/>
      <c r="E3" s="25"/>
      <c r="F3" s="1"/>
      <c r="G3" s="27"/>
      <c r="J3" s="74"/>
      <c r="M3" s="74"/>
      <c r="N3" s="74"/>
    </row>
    <row r="4" spans="1:18">
      <c r="A4" s="4"/>
      <c r="B4" s="1"/>
      <c r="C4" s="1"/>
      <c r="D4" s="3"/>
      <c r="E4" s="25"/>
      <c r="F4" s="1"/>
      <c r="G4" s="27"/>
      <c r="M4" s="74"/>
      <c r="P4" s="74"/>
      <c r="R4" s="74"/>
    </row>
    <row r="5" ht="22.5" customHeight="1" spans="1:16">
      <c r="A5" s="5" t="s">
        <v>29</v>
      </c>
      <c r="B5" s="6" t="s">
        <v>30</v>
      </c>
      <c r="C5" s="5" t="s">
        <v>31</v>
      </c>
      <c r="D5" s="7" t="s">
        <v>5</v>
      </c>
      <c r="E5" s="7"/>
      <c r="F5" s="7"/>
      <c r="G5" s="7"/>
      <c r="H5" s="7"/>
      <c r="I5" s="7"/>
      <c r="J5" s="7"/>
      <c r="L5" s="41" t="s">
        <v>32</v>
      </c>
      <c r="M5" s="41" t="s">
        <v>33</v>
      </c>
      <c r="N5" s="41" t="s">
        <v>34</v>
      </c>
      <c r="P5" s="41" t="s">
        <v>35</v>
      </c>
    </row>
    <row r="6" ht="17.6" spans="1:16">
      <c r="A6" s="8"/>
      <c r="B6" s="9"/>
      <c r="C6" s="8"/>
      <c r="D6" s="10" t="s">
        <v>6</v>
      </c>
      <c r="E6" s="10" t="s">
        <v>7</v>
      </c>
      <c r="F6" s="28" t="s">
        <v>8</v>
      </c>
      <c r="G6" s="28" t="s">
        <v>9</v>
      </c>
      <c r="H6" s="28" t="s">
        <v>10</v>
      </c>
      <c r="I6" s="42" t="s">
        <v>28</v>
      </c>
      <c r="J6" s="42" t="s">
        <v>36</v>
      </c>
      <c r="L6" s="58"/>
      <c r="M6" s="58"/>
      <c r="N6" s="58"/>
      <c r="P6" s="41"/>
    </row>
    <row r="7" s="1" customFormat="1" ht="17.6" spans="1:21">
      <c r="A7" s="14">
        <v>45870</v>
      </c>
      <c r="B7" s="14" t="s">
        <v>247</v>
      </c>
      <c r="C7" s="15" t="s">
        <v>248</v>
      </c>
      <c r="D7" s="177"/>
      <c r="E7" s="153">
        <v>56887000</v>
      </c>
      <c r="F7" s="177"/>
      <c r="G7" s="153"/>
      <c r="H7" s="182">
        <f t="shared" ref="H7:H10" si="0">SUM(D7:G7)</f>
        <v>56887000</v>
      </c>
      <c r="I7" s="188">
        <f t="shared" ref="I7:I9" si="1">H7*0.11</f>
        <v>6257570</v>
      </c>
      <c r="J7" s="188">
        <f t="shared" ref="J7:J8" si="2">H7+I7</f>
        <v>63144570</v>
      </c>
      <c r="K7" s="89"/>
      <c r="L7" s="49">
        <v>45877</v>
      </c>
      <c r="M7" s="191"/>
      <c r="N7" s="192">
        <f t="shared" ref="N7:N19" si="3">J7-M7</f>
        <v>63144570</v>
      </c>
      <c r="P7" s="140">
        <f>J7-M7-N7</f>
        <v>0</v>
      </c>
      <c r="R7" s="12"/>
      <c r="S7" s="12"/>
      <c r="T7" s="202"/>
      <c r="U7" s="140"/>
    </row>
    <row r="8" s="1" customFormat="1" ht="17.6" spans="1:21">
      <c r="A8" s="119">
        <v>45870</v>
      </c>
      <c r="B8" s="119" t="s">
        <v>249</v>
      </c>
      <c r="C8" s="120" t="s">
        <v>248</v>
      </c>
      <c r="D8" s="178"/>
      <c r="E8" s="183">
        <v>4408575</v>
      </c>
      <c r="F8" s="178"/>
      <c r="G8" s="183"/>
      <c r="H8" s="184">
        <f t="shared" si="0"/>
        <v>4408575</v>
      </c>
      <c r="I8" s="189">
        <f t="shared" si="1"/>
        <v>484943.25</v>
      </c>
      <c r="J8" s="189">
        <f t="shared" si="2"/>
        <v>4893518.25</v>
      </c>
      <c r="K8" s="89"/>
      <c r="L8" s="49">
        <v>45877</v>
      </c>
      <c r="M8" s="191"/>
      <c r="N8" s="193">
        <f t="shared" si="3"/>
        <v>4893518.25</v>
      </c>
      <c r="P8" s="194"/>
      <c r="R8" s="203"/>
      <c r="S8" s="203"/>
      <c r="T8" s="204"/>
      <c r="U8" s="194"/>
    </row>
    <row r="9" s="1" customFormat="1" ht="17.6" spans="1:21">
      <c r="A9" s="14">
        <v>45870</v>
      </c>
      <c r="B9" s="14" t="s">
        <v>250</v>
      </c>
      <c r="C9" s="15" t="s">
        <v>251</v>
      </c>
      <c r="D9" s="177"/>
      <c r="E9" s="153"/>
      <c r="F9" s="177">
        <v>1200000</v>
      </c>
      <c r="G9" s="185"/>
      <c r="H9" s="182">
        <f t="shared" si="0"/>
        <v>1200000</v>
      </c>
      <c r="I9" s="16">
        <f t="shared" si="1"/>
        <v>132000</v>
      </c>
      <c r="J9" s="188">
        <f>SUM(H9:I9)</f>
        <v>1332000</v>
      </c>
      <c r="K9" s="89"/>
      <c r="L9" s="49">
        <v>45870</v>
      </c>
      <c r="M9" s="191"/>
      <c r="N9" s="150">
        <f t="shared" si="3"/>
        <v>1332000</v>
      </c>
      <c r="P9" s="194"/>
      <c r="R9" s="203"/>
      <c r="S9" s="203"/>
      <c r="T9" s="204"/>
      <c r="U9" s="194"/>
    </row>
    <row r="10" s="1" customFormat="1" ht="17.6" spans="1:21">
      <c r="A10" s="14">
        <v>45870</v>
      </c>
      <c r="B10" s="14" t="s">
        <v>252</v>
      </c>
      <c r="C10" s="15" t="s">
        <v>172</v>
      </c>
      <c r="D10" s="177"/>
      <c r="E10" s="153">
        <v>5200000</v>
      </c>
      <c r="F10" s="177"/>
      <c r="G10" s="153"/>
      <c r="H10" s="182">
        <f t="shared" si="0"/>
        <v>5200000</v>
      </c>
      <c r="I10" s="16">
        <f t="shared" ref="I10" si="4">H10*0.11</f>
        <v>572000</v>
      </c>
      <c r="J10" s="188">
        <f t="shared" ref="J10" si="5">SUM(H10:I10)</f>
        <v>5772000</v>
      </c>
      <c r="K10" s="89"/>
      <c r="L10" s="49">
        <v>45870</v>
      </c>
      <c r="M10" s="195"/>
      <c r="N10" s="150">
        <f t="shared" si="3"/>
        <v>5772000</v>
      </c>
      <c r="P10" s="153">
        <f>J10-M10-N10</f>
        <v>0</v>
      </c>
      <c r="R10" s="15"/>
      <c r="S10" s="15"/>
      <c r="T10" s="15"/>
      <c r="U10" s="15"/>
    </row>
    <row r="11" s="1" customFormat="1" ht="17.6" spans="1:21">
      <c r="A11" s="14">
        <v>45870</v>
      </c>
      <c r="B11" s="14" t="s">
        <v>253</v>
      </c>
      <c r="C11" s="15" t="s">
        <v>172</v>
      </c>
      <c r="D11" s="177"/>
      <c r="E11" s="153">
        <v>5200000</v>
      </c>
      <c r="F11" s="177"/>
      <c r="G11" s="153"/>
      <c r="H11" s="182">
        <f t="shared" ref="H11:H33" si="6">SUM(D11:G11)</f>
        <v>5200000</v>
      </c>
      <c r="I11" s="16">
        <f t="shared" ref="I11:I33" si="7">H11*0.11</f>
        <v>572000</v>
      </c>
      <c r="J11" s="188">
        <f t="shared" ref="J11:J33" si="8">SUM(H11:I11)</f>
        <v>5772000</v>
      </c>
      <c r="K11" s="89"/>
      <c r="L11" s="49">
        <v>45978</v>
      </c>
      <c r="M11" s="196"/>
      <c r="N11" s="150">
        <f t="shared" si="3"/>
        <v>5772000</v>
      </c>
      <c r="P11" s="153">
        <f t="shared" ref="P11:P33" si="9">J11-M11-N11</f>
        <v>0</v>
      </c>
      <c r="R11" s="205"/>
      <c r="S11" s="15"/>
      <c r="T11" s="15"/>
      <c r="U11" s="15"/>
    </row>
    <row r="12" s="1" customFormat="1" ht="17.6" spans="1:21">
      <c r="A12" s="14">
        <v>45874</v>
      </c>
      <c r="B12" s="14" t="s">
        <v>254</v>
      </c>
      <c r="C12" s="15" t="s">
        <v>255</v>
      </c>
      <c r="D12" s="177"/>
      <c r="E12" s="153">
        <v>114025031</v>
      </c>
      <c r="F12" s="177"/>
      <c r="G12" s="153"/>
      <c r="H12" s="182">
        <f t="shared" si="6"/>
        <v>114025031</v>
      </c>
      <c r="I12" s="16">
        <f t="shared" si="7"/>
        <v>12542753.41</v>
      </c>
      <c r="J12" s="188">
        <f t="shared" si="8"/>
        <v>126567784.41</v>
      </c>
      <c r="K12" s="89"/>
      <c r="L12" s="49">
        <v>45874</v>
      </c>
      <c r="M12" s="197"/>
      <c r="N12" s="150">
        <f t="shared" si="3"/>
        <v>126567784.41</v>
      </c>
      <c r="P12" s="153">
        <f t="shared" si="9"/>
        <v>0</v>
      </c>
      <c r="R12" s="205"/>
      <c r="S12" s="15"/>
      <c r="T12" s="15"/>
      <c r="U12" s="15"/>
    </row>
    <row r="13" s="1" customFormat="1" ht="17.6" spans="1:21">
      <c r="A13" s="14">
        <v>45874</v>
      </c>
      <c r="B13" s="14" t="s">
        <v>256</v>
      </c>
      <c r="C13" s="15" t="s">
        <v>172</v>
      </c>
      <c r="D13" s="177"/>
      <c r="E13" s="153">
        <v>19605250</v>
      </c>
      <c r="F13" s="177"/>
      <c r="G13" s="153"/>
      <c r="H13" s="182">
        <f t="shared" si="6"/>
        <v>19605250</v>
      </c>
      <c r="I13" s="16">
        <f t="shared" si="7"/>
        <v>2156577.5</v>
      </c>
      <c r="J13" s="188">
        <f t="shared" si="8"/>
        <v>21761827.5</v>
      </c>
      <c r="K13" s="89"/>
      <c r="L13" s="49">
        <v>45874</v>
      </c>
      <c r="M13" s="191"/>
      <c r="N13" s="150">
        <f t="shared" si="3"/>
        <v>21761827.5</v>
      </c>
      <c r="P13" s="153">
        <f t="shared" si="9"/>
        <v>0</v>
      </c>
      <c r="R13" s="205"/>
      <c r="S13" s="206"/>
      <c r="T13" s="206"/>
      <c r="U13" s="206"/>
    </row>
    <row r="14" s="1" customFormat="1" ht="17.6" spans="1:21">
      <c r="A14" s="14">
        <v>45874</v>
      </c>
      <c r="B14" s="14" t="s">
        <v>257</v>
      </c>
      <c r="C14" s="15" t="s">
        <v>172</v>
      </c>
      <c r="D14" s="177"/>
      <c r="E14" s="153">
        <v>19605250</v>
      </c>
      <c r="F14" s="177"/>
      <c r="G14" s="153"/>
      <c r="H14" s="182">
        <f t="shared" si="6"/>
        <v>19605250</v>
      </c>
      <c r="I14" s="16">
        <f t="shared" si="7"/>
        <v>2156577.5</v>
      </c>
      <c r="J14" s="188">
        <f t="shared" si="8"/>
        <v>21761827.5</v>
      </c>
      <c r="K14" s="89"/>
      <c r="L14" s="49">
        <v>45978</v>
      </c>
      <c r="M14" s="198"/>
      <c r="N14" s="150">
        <f t="shared" si="3"/>
        <v>21761827.5</v>
      </c>
      <c r="P14" s="153">
        <f t="shared" si="9"/>
        <v>0</v>
      </c>
      <c r="R14" s="205"/>
      <c r="S14" s="15"/>
      <c r="T14" s="15"/>
      <c r="U14" s="15"/>
    </row>
    <row r="15" s="1" customFormat="1" ht="17.6" spans="1:21">
      <c r="A15" s="14">
        <v>45874</v>
      </c>
      <c r="B15" s="14" t="s">
        <v>258</v>
      </c>
      <c r="C15" s="15" t="s">
        <v>98</v>
      </c>
      <c r="D15" s="177"/>
      <c r="E15" s="153">
        <v>84150000</v>
      </c>
      <c r="F15" s="177"/>
      <c r="G15" s="153"/>
      <c r="H15" s="182">
        <f t="shared" si="6"/>
        <v>84150000</v>
      </c>
      <c r="I15" s="16">
        <f t="shared" si="7"/>
        <v>9256500</v>
      </c>
      <c r="J15" s="188">
        <f t="shared" si="8"/>
        <v>93406500</v>
      </c>
      <c r="K15" s="89"/>
      <c r="L15" s="50">
        <v>45986</v>
      </c>
      <c r="M15" s="112"/>
      <c r="N15" s="150">
        <f t="shared" si="3"/>
        <v>93406500</v>
      </c>
      <c r="P15" s="153">
        <f t="shared" si="9"/>
        <v>0</v>
      </c>
      <c r="R15" s="205"/>
      <c r="S15" s="15"/>
      <c r="T15" s="15"/>
      <c r="U15" s="15"/>
    </row>
    <row r="16" s="1" customFormat="1" ht="17.6" spans="1:21">
      <c r="A16" s="14">
        <v>45875</v>
      </c>
      <c r="B16" s="14" t="s">
        <v>259</v>
      </c>
      <c r="C16" s="15" t="s">
        <v>42</v>
      </c>
      <c r="D16" s="177"/>
      <c r="E16" s="153"/>
      <c r="F16" s="177">
        <v>64600000</v>
      </c>
      <c r="G16" s="153"/>
      <c r="H16" s="182">
        <f t="shared" si="6"/>
        <v>64600000</v>
      </c>
      <c r="I16" s="16">
        <f t="shared" si="7"/>
        <v>7106000</v>
      </c>
      <c r="J16" s="188">
        <f t="shared" si="8"/>
        <v>71706000</v>
      </c>
      <c r="K16" s="89"/>
      <c r="L16" s="50">
        <v>45915</v>
      </c>
      <c r="M16" s="199"/>
      <c r="N16" s="150">
        <f t="shared" si="3"/>
        <v>71706000</v>
      </c>
      <c r="P16" s="153">
        <f t="shared" si="9"/>
        <v>0</v>
      </c>
      <c r="R16" s="205"/>
      <c r="S16" s="15"/>
      <c r="T16" s="15"/>
      <c r="U16" s="15"/>
    </row>
    <row r="17" s="1" customFormat="1" ht="17.6" spans="1:21">
      <c r="A17" s="14">
        <v>45875</v>
      </c>
      <c r="B17" s="14" t="s">
        <v>260</v>
      </c>
      <c r="C17" s="15" t="s">
        <v>42</v>
      </c>
      <c r="D17" s="177"/>
      <c r="E17" s="153"/>
      <c r="F17" s="177">
        <v>29400000</v>
      </c>
      <c r="G17" s="153"/>
      <c r="H17" s="182">
        <f t="shared" si="6"/>
        <v>29400000</v>
      </c>
      <c r="I17" s="16">
        <f t="shared" si="7"/>
        <v>3234000</v>
      </c>
      <c r="J17" s="188">
        <f t="shared" si="8"/>
        <v>32634000</v>
      </c>
      <c r="K17" s="89"/>
      <c r="L17" s="50">
        <v>45915</v>
      </c>
      <c r="M17" s="113">
        <v>2900</v>
      </c>
      <c r="N17" s="150">
        <f t="shared" si="3"/>
        <v>32631100</v>
      </c>
      <c r="P17" s="153">
        <f t="shared" si="9"/>
        <v>0</v>
      </c>
      <c r="R17" s="205"/>
      <c r="S17" s="15"/>
      <c r="T17" s="15"/>
      <c r="U17" s="15"/>
    </row>
    <row r="18" s="1" customFormat="1" ht="17.6" spans="1:21">
      <c r="A18" s="14">
        <v>45877</v>
      </c>
      <c r="B18" s="14" t="s">
        <v>261</v>
      </c>
      <c r="C18" s="15" t="s">
        <v>42</v>
      </c>
      <c r="D18" s="177">
        <v>180900000</v>
      </c>
      <c r="E18" s="153"/>
      <c r="F18" s="177"/>
      <c r="G18" s="153"/>
      <c r="H18" s="182">
        <f t="shared" si="6"/>
        <v>180900000</v>
      </c>
      <c r="I18" s="16">
        <f t="shared" si="7"/>
        <v>19899000</v>
      </c>
      <c r="J18" s="188">
        <f t="shared" si="8"/>
        <v>200799000</v>
      </c>
      <c r="K18" s="89"/>
      <c r="L18" s="50">
        <v>45915</v>
      </c>
      <c r="M18" s="199">
        <f>D18*0.02</f>
        <v>3618000</v>
      </c>
      <c r="N18" s="150">
        <f t="shared" si="3"/>
        <v>197181000</v>
      </c>
      <c r="P18" s="153">
        <f t="shared" si="9"/>
        <v>0</v>
      </c>
      <c r="R18" s="205"/>
      <c r="S18" s="15"/>
      <c r="T18" s="15"/>
      <c r="U18" s="15"/>
    </row>
    <row r="19" s="1" customFormat="1" ht="17.6" spans="1:21">
      <c r="A19" s="14">
        <v>45877</v>
      </c>
      <c r="B19" s="14" t="s">
        <v>262</v>
      </c>
      <c r="C19" s="15" t="s">
        <v>42</v>
      </c>
      <c r="D19" s="177">
        <v>56700000</v>
      </c>
      <c r="E19" s="153"/>
      <c r="F19" s="177"/>
      <c r="G19" s="153"/>
      <c r="H19" s="182">
        <f t="shared" si="6"/>
        <v>56700000</v>
      </c>
      <c r="I19" s="16">
        <f t="shared" si="7"/>
        <v>6237000</v>
      </c>
      <c r="J19" s="188">
        <f t="shared" si="8"/>
        <v>62937000</v>
      </c>
      <c r="K19" s="89"/>
      <c r="L19" s="50">
        <v>45915</v>
      </c>
      <c r="M19" s="174">
        <f>D19*0.02</f>
        <v>1134000</v>
      </c>
      <c r="N19" s="150">
        <f t="shared" si="3"/>
        <v>61803000</v>
      </c>
      <c r="P19" s="153">
        <f t="shared" si="9"/>
        <v>0</v>
      </c>
      <c r="R19" s="205"/>
      <c r="S19" s="206"/>
      <c r="T19" s="206"/>
      <c r="U19" s="206"/>
    </row>
    <row r="20" s="1" customFormat="1" ht="17.6" spans="1:21">
      <c r="A20" s="14">
        <v>45875</v>
      </c>
      <c r="B20" s="14" t="s">
        <v>263</v>
      </c>
      <c r="C20" s="15" t="s">
        <v>232</v>
      </c>
      <c r="D20" s="179"/>
      <c r="E20" s="153"/>
      <c r="F20" s="177">
        <v>1800000</v>
      </c>
      <c r="G20" s="153"/>
      <c r="H20" s="182">
        <f t="shared" si="6"/>
        <v>1800000</v>
      </c>
      <c r="I20" s="16">
        <f t="shared" si="7"/>
        <v>198000</v>
      </c>
      <c r="J20" s="188">
        <f t="shared" si="8"/>
        <v>1998000</v>
      </c>
      <c r="K20" s="89"/>
      <c r="L20" s="50">
        <v>45875</v>
      </c>
      <c r="M20" s="174"/>
      <c r="N20" s="150">
        <f t="shared" ref="N20:N33" si="10">J20-M20</f>
        <v>1998000</v>
      </c>
      <c r="P20" s="153">
        <f t="shared" si="9"/>
        <v>0</v>
      </c>
      <c r="R20" s="205"/>
      <c r="S20" s="15"/>
      <c r="T20" s="152"/>
      <c r="U20" s="153"/>
    </row>
    <row r="21" s="1" customFormat="1" ht="17.6" spans="1:21">
      <c r="A21" s="14">
        <v>45876</v>
      </c>
      <c r="B21" s="14" t="s">
        <v>264</v>
      </c>
      <c r="C21" s="15" t="s">
        <v>265</v>
      </c>
      <c r="D21" s="177"/>
      <c r="E21" s="153"/>
      <c r="F21" s="177">
        <v>314338500</v>
      </c>
      <c r="G21" s="153"/>
      <c r="H21" s="182">
        <f t="shared" si="6"/>
        <v>314338500</v>
      </c>
      <c r="I21" s="16">
        <f t="shared" si="7"/>
        <v>34577235</v>
      </c>
      <c r="J21" s="188">
        <f t="shared" si="8"/>
        <v>348915735</v>
      </c>
      <c r="K21" s="89"/>
      <c r="L21" s="50"/>
      <c r="M21" s="172"/>
      <c r="N21" s="150">
        <v>0</v>
      </c>
      <c r="P21" s="153">
        <f t="shared" si="9"/>
        <v>348915735</v>
      </c>
      <c r="R21" s="205"/>
      <c r="S21" s="15"/>
      <c r="T21" s="15"/>
      <c r="U21" s="15"/>
    </row>
    <row r="22" s="1" customFormat="1" ht="17.6" spans="1:21">
      <c r="A22" s="14">
        <v>45877</v>
      </c>
      <c r="B22" s="14" t="s">
        <v>266</v>
      </c>
      <c r="C22" s="15" t="s">
        <v>59</v>
      </c>
      <c r="D22" s="177"/>
      <c r="E22" s="153"/>
      <c r="F22" s="177">
        <v>1905000</v>
      </c>
      <c r="G22" s="153"/>
      <c r="H22" s="182">
        <f t="shared" si="6"/>
        <v>1905000</v>
      </c>
      <c r="I22" s="16">
        <f t="shared" si="7"/>
        <v>209550</v>
      </c>
      <c r="J22" s="188">
        <f t="shared" si="8"/>
        <v>2114550</v>
      </c>
      <c r="K22" s="89"/>
      <c r="L22" s="49">
        <v>45911</v>
      </c>
      <c r="M22" s="191"/>
      <c r="N22" s="150">
        <f t="shared" ref="N22:N28" si="11">J22-M22</f>
        <v>2114550</v>
      </c>
      <c r="P22" s="153">
        <f t="shared" si="9"/>
        <v>0</v>
      </c>
      <c r="R22" s="205"/>
      <c r="S22" s="206"/>
      <c r="T22" s="206"/>
      <c r="U22" s="206"/>
    </row>
    <row r="23" s="1" customFormat="1" ht="17.6" spans="1:21">
      <c r="A23" s="14">
        <v>45877</v>
      </c>
      <c r="B23" s="14" t="s">
        <v>267</v>
      </c>
      <c r="C23" s="15" t="s">
        <v>42</v>
      </c>
      <c r="D23" s="177"/>
      <c r="E23" s="153"/>
      <c r="F23" s="177">
        <v>25300000</v>
      </c>
      <c r="G23" s="153"/>
      <c r="H23" s="182">
        <f t="shared" si="6"/>
        <v>25300000</v>
      </c>
      <c r="I23" s="16">
        <f t="shared" si="7"/>
        <v>2783000</v>
      </c>
      <c r="J23" s="188">
        <f t="shared" si="8"/>
        <v>28083000</v>
      </c>
      <c r="K23" s="89"/>
      <c r="L23" s="49">
        <v>45915</v>
      </c>
      <c r="M23" s="173"/>
      <c r="N23" s="150">
        <f t="shared" si="11"/>
        <v>28083000</v>
      </c>
      <c r="P23" s="153">
        <f t="shared" si="9"/>
        <v>0</v>
      </c>
      <c r="R23" s="205"/>
      <c r="S23" s="15"/>
      <c r="T23" s="15"/>
      <c r="U23" s="15"/>
    </row>
    <row r="24" s="1" customFormat="1" ht="17.6" spans="1:21">
      <c r="A24" s="14">
        <v>45881</v>
      </c>
      <c r="B24" s="14" t="s">
        <v>268</v>
      </c>
      <c r="C24" s="15" t="s">
        <v>172</v>
      </c>
      <c r="D24" s="177"/>
      <c r="E24" s="177">
        <v>8811250</v>
      </c>
      <c r="F24" s="177"/>
      <c r="G24" s="153"/>
      <c r="H24" s="182">
        <f t="shared" si="6"/>
        <v>8811250</v>
      </c>
      <c r="I24" s="16">
        <f t="shared" si="7"/>
        <v>969237.5</v>
      </c>
      <c r="J24" s="188">
        <f t="shared" si="8"/>
        <v>9780487.5</v>
      </c>
      <c r="K24" s="89"/>
      <c r="L24" s="50">
        <v>45881</v>
      </c>
      <c r="M24" s="172"/>
      <c r="N24" s="150">
        <f t="shared" si="11"/>
        <v>9780487.5</v>
      </c>
      <c r="P24" s="153">
        <f t="shared" si="9"/>
        <v>0</v>
      </c>
      <c r="R24" s="205"/>
      <c r="S24" s="15"/>
      <c r="T24" s="15"/>
      <c r="U24" s="15"/>
    </row>
    <row r="25" s="1" customFormat="1" ht="17.6" spans="1:21">
      <c r="A25" s="14">
        <v>45881</v>
      </c>
      <c r="B25" s="14" t="s">
        <v>269</v>
      </c>
      <c r="C25" s="15" t="s">
        <v>172</v>
      </c>
      <c r="D25" s="177"/>
      <c r="E25" s="177">
        <v>8811250</v>
      </c>
      <c r="F25" s="177"/>
      <c r="G25" s="153"/>
      <c r="H25" s="182">
        <f t="shared" si="6"/>
        <v>8811250</v>
      </c>
      <c r="I25" s="16">
        <f t="shared" si="7"/>
        <v>969237.5</v>
      </c>
      <c r="J25" s="188">
        <f t="shared" si="8"/>
        <v>9780487.5</v>
      </c>
      <c r="K25" s="89"/>
      <c r="L25" s="50">
        <v>45925</v>
      </c>
      <c r="M25" s="172"/>
      <c r="N25" s="150">
        <f t="shared" si="11"/>
        <v>9780487.5</v>
      </c>
      <c r="P25" s="153">
        <f t="shared" si="9"/>
        <v>0</v>
      </c>
      <c r="R25" s="205"/>
      <c r="S25" s="15"/>
      <c r="T25" s="15"/>
      <c r="U25" s="15"/>
    </row>
    <row r="26" s="1" customFormat="1" ht="17.6" spans="1:21">
      <c r="A26" s="14">
        <v>45881</v>
      </c>
      <c r="B26" s="14" t="s">
        <v>270</v>
      </c>
      <c r="C26" s="15" t="s">
        <v>271</v>
      </c>
      <c r="D26" s="177"/>
      <c r="E26" s="177"/>
      <c r="F26" s="177">
        <v>1364000</v>
      </c>
      <c r="G26" s="153"/>
      <c r="H26" s="182">
        <f t="shared" si="6"/>
        <v>1364000</v>
      </c>
      <c r="I26" s="16">
        <f t="shared" si="7"/>
        <v>150040</v>
      </c>
      <c r="J26" s="188">
        <f t="shared" si="8"/>
        <v>1514040</v>
      </c>
      <c r="K26" s="89"/>
      <c r="L26" s="50">
        <v>45881</v>
      </c>
      <c r="M26" s="172"/>
      <c r="N26" s="150">
        <f t="shared" si="11"/>
        <v>1514040</v>
      </c>
      <c r="P26" s="153">
        <f t="shared" si="9"/>
        <v>0</v>
      </c>
      <c r="R26" s="205"/>
      <c r="S26" s="15"/>
      <c r="T26" s="15"/>
      <c r="U26" s="15"/>
    </row>
    <row r="27" s="1" customFormat="1" ht="17.6" spans="1:21">
      <c r="A27" s="14">
        <v>45890</v>
      </c>
      <c r="B27" s="14" t="s">
        <v>272</v>
      </c>
      <c r="C27" s="15" t="s">
        <v>52</v>
      </c>
      <c r="D27" s="177"/>
      <c r="E27" s="177"/>
      <c r="F27" s="177">
        <v>23750000</v>
      </c>
      <c r="G27" s="153"/>
      <c r="H27" s="182">
        <f t="shared" si="6"/>
        <v>23750000</v>
      </c>
      <c r="I27" s="16">
        <f t="shared" si="7"/>
        <v>2612500</v>
      </c>
      <c r="J27" s="188">
        <f t="shared" si="8"/>
        <v>26362500</v>
      </c>
      <c r="K27" s="89"/>
      <c r="L27" s="50">
        <v>45930</v>
      </c>
      <c r="M27" s="172"/>
      <c r="N27" s="150">
        <f t="shared" si="11"/>
        <v>26362500</v>
      </c>
      <c r="P27" s="153">
        <f t="shared" si="9"/>
        <v>0</v>
      </c>
      <c r="R27" s="15"/>
      <c r="S27" s="15"/>
      <c r="T27" s="15"/>
      <c r="U27" s="15"/>
    </row>
    <row r="28" s="1" customFormat="1" ht="17.6" spans="1:21">
      <c r="A28" s="14">
        <v>45890</v>
      </c>
      <c r="B28" s="14" t="s">
        <v>273</v>
      </c>
      <c r="C28" s="15" t="s">
        <v>42</v>
      </c>
      <c r="D28" s="177"/>
      <c r="E28" s="177"/>
      <c r="F28" s="177">
        <v>627910000</v>
      </c>
      <c r="G28" s="153"/>
      <c r="H28" s="182">
        <f t="shared" si="6"/>
        <v>627910000</v>
      </c>
      <c r="I28" s="16">
        <f t="shared" si="7"/>
        <v>69070100</v>
      </c>
      <c r="J28" s="188">
        <f t="shared" si="8"/>
        <v>696980100</v>
      </c>
      <c r="K28" s="89"/>
      <c r="L28" s="50">
        <v>45930</v>
      </c>
      <c r="M28" s="172">
        <v>1000</v>
      </c>
      <c r="N28" s="150">
        <f t="shared" si="11"/>
        <v>696979100</v>
      </c>
      <c r="P28" s="153">
        <f t="shared" si="9"/>
        <v>0</v>
      </c>
      <c r="R28" s="15"/>
      <c r="S28" s="15"/>
      <c r="T28" s="15"/>
      <c r="U28" s="15"/>
    </row>
    <row r="29" s="1" customFormat="1" ht="17.6" spans="1:21">
      <c r="A29" s="14">
        <v>45894</v>
      </c>
      <c r="B29" s="14" t="s">
        <v>274</v>
      </c>
      <c r="C29" s="15" t="s">
        <v>117</v>
      </c>
      <c r="D29" s="177"/>
      <c r="E29" s="177"/>
      <c r="F29" s="177">
        <v>11700000</v>
      </c>
      <c r="G29" s="153"/>
      <c r="H29" s="182">
        <f t="shared" si="6"/>
        <v>11700000</v>
      </c>
      <c r="I29" s="16">
        <f t="shared" si="7"/>
        <v>1287000</v>
      </c>
      <c r="J29" s="188">
        <f t="shared" si="8"/>
        <v>12987000</v>
      </c>
      <c r="K29" s="89"/>
      <c r="L29" s="50"/>
      <c r="M29" s="172"/>
      <c r="N29" s="150">
        <v>0</v>
      </c>
      <c r="P29" s="153">
        <f t="shared" si="9"/>
        <v>12987000</v>
      </c>
      <c r="R29" s="153"/>
      <c r="S29" s="15"/>
      <c r="T29" s="15"/>
      <c r="U29" s="15"/>
    </row>
    <row r="30" s="1" customFormat="1" ht="17.6" spans="1:21">
      <c r="A30" s="14">
        <v>45896</v>
      </c>
      <c r="B30" s="14" t="s">
        <v>275</v>
      </c>
      <c r="C30" s="15" t="s">
        <v>85</v>
      </c>
      <c r="D30" s="177"/>
      <c r="E30" s="177">
        <v>59520000</v>
      </c>
      <c r="F30" s="177"/>
      <c r="G30" s="153"/>
      <c r="H30" s="182">
        <f t="shared" si="6"/>
        <v>59520000</v>
      </c>
      <c r="I30" s="16">
        <f t="shared" si="7"/>
        <v>6547200</v>
      </c>
      <c r="J30" s="188">
        <f t="shared" si="8"/>
        <v>66067200</v>
      </c>
      <c r="K30" s="89"/>
      <c r="L30" s="50">
        <v>45933</v>
      </c>
      <c r="M30" s="172"/>
      <c r="N30" s="150">
        <f>J30-M30</f>
        <v>66067200</v>
      </c>
      <c r="P30" s="153">
        <f t="shared" si="9"/>
        <v>0</v>
      </c>
      <c r="R30" s="153"/>
      <c r="S30" s="15"/>
      <c r="T30" s="15"/>
      <c r="U30" s="15"/>
    </row>
    <row r="31" s="1" customFormat="1" ht="17.6" spans="1:21">
      <c r="A31" s="14">
        <v>45894</v>
      </c>
      <c r="B31" s="14" t="s">
        <v>276</v>
      </c>
      <c r="C31" s="15" t="s">
        <v>265</v>
      </c>
      <c r="D31" s="177">
        <v>212300000</v>
      </c>
      <c r="E31" s="177"/>
      <c r="F31" s="177"/>
      <c r="G31" s="153"/>
      <c r="H31" s="182">
        <f t="shared" si="6"/>
        <v>212300000</v>
      </c>
      <c r="I31" s="16">
        <f t="shared" si="7"/>
        <v>23353000</v>
      </c>
      <c r="J31" s="188">
        <f t="shared" si="8"/>
        <v>235653000</v>
      </c>
      <c r="K31" s="89"/>
      <c r="L31" s="50"/>
      <c r="M31" s="172"/>
      <c r="N31" s="150">
        <v>0</v>
      </c>
      <c r="P31" s="153">
        <f t="shared" si="9"/>
        <v>235653000</v>
      </c>
      <c r="R31" s="15"/>
      <c r="S31" s="15"/>
      <c r="T31" s="15"/>
      <c r="U31" s="15"/>
    </row>
    <row r="32" s="1" customFormat="1" ht="17.6" spans="1:21">
      <c r="A32" s="14">
        <v>45897</v>
      </c>
      <c r="B32" s="14" t="s">
        <v>277</v>
      </c>
      <c r="C32" s="15" t="s">
        <v>57</v>
      </c>
      <c r="D32" s="177"/>
      <c r="E32" s="177">
        <v>408000</v>
      </c>
      <c r="F32" s="177"/>
      <c r="G32" s="153"/>
      <c r="H32" s="182">
        <f t="shared" si="6"/>
        <v>408000</v>
      </c>
      <c r="I32" s="16">
        <f t="shared" si="7"/>
        <v>44880</v>
      </c>
      <c r="J32" s="188">
        <f t="shared" si="8"/>
        <v>452880</v>
      </c>
      <c r="K32" s="89"/>
      <c r="L32" s="50">
        <v>45933</v>
      </c>
      <c r="M32" s="172"/>
      <c r="N32" s="150">
        <f>J32-M32</f>
        <v>452880</v>
      </c>
      <c r="P32" s="153">
        <f t="shared" si="9"/>
        <v>0</v>
      </c>
      <c r="R32" s="15"/>
      <c r="S32" s="15"/>
      <c r="T32" s="15"/>
      <c r="U32" s="15"/>
    </row>
    <row r="33" s="1" customFormat="1" ht="17.6" spans="1:21">
      <c r="A33" s="19"/>
      <c r="B33" s="19"/>
      <c r="C33" s="20"/>
      <c r="D33" s="180"/>
      <c r="E33" s="186"/>
      <c r="F33" s="180"/>
      <c r="G33" s="186"/>
      <c r="H33" s="182">
        <f t="shared" si="6"/>
        <v>0</v>
      </c>
      <c r="I33" s="16">
        <f t="shared" si="7"/>
        <v>0</v>
      </c>
      <c r="J33" s="188">
        <f t="shared" si="8"/>
        <v>0</v>
      </c>
      <c r="K33" s="89"/>
      <c r="L33" s="190"/>
      <c r="M33" s="200">
        <v>0</v>
      </c>
      <c r="N33" s="150">
        <f t="shared" si="10"/>
        <v>0</v>
      </c>
      <c r="P33" s="153">
        <f t="shared" si="9"/>
        <v>0</v>
      </c>
      <c r="R33" s="20"/>
      <c r="S33" s="20"/>
      <c r="T33" s="20"/>
      <c r="U33" s="20"/>
    </row>
    <row r="34" ht="21.75" customHeight="1" spans="1:21">
      <c r="A34" s="22"/>
      <c r="B34" s="22"/>
      <c r="C34" s="23" t="s">
        <v>10</v>
      </c>
      <c r="D34" s="86">
        <f t="shared" ref="D34:J34" si="12">SUM(D7:D33)</f>
        <v>449900000</v>
      </c>
      <c r="E34" s="86">
        <f t="shared" si="12"/>
        <v>386631606</v>
      </c>
      <c r="F34" s="86">
        <f t="shared" si="12"/>
        <v>1103267500</v>
      </c>
      <c r="G34" s="86">
        <f t="shared" si="12"/>
        <v>0</v>
      </c>
      <c r="H34" s="93">
        <f t="shared" si="12"/>
        <v>1939799106</v>
      </c>
      <c r="I34" s="93">
        <f t="shared" si="12"/>
        <v>213377901.66</v>
      </c>
      <c r="J34" s="93">
        <f t="shared" si="12"/>
        <v>2153177007.66</v>
      </c>
      <c r="L34" s="93"/>
      <c r="M34" s="38">
        <f>SUM(M7:M33)</f>
        <v>4755900</v>
      </c>
      <c r="N34" s="38">
        <f>SUM(N7:N33)</f>
        <v>1550865372.66</v>
      </c>
      <c r="P34" s="38">
        <f>SUM(P7:P33)</f>
        <v>597555735</v>
      </c>
      <c r="R34" s="38"/>
      <c r="S34" s="38">
        <f>SUM(S7:S33)</f>
        <v>0</v>
      </c>
      <c r="T34" s="38"/>
      <c r="U34" s="38">
        <f>SUM(U7:U33)</f>
        <v>0</v>
      </c>
    </row>
    <row r="35" spans="14:21">
      <c r="N35" s="201"/>
      <c r="U35" s="74"/>
    </row>
    <row r="36" spans="4:16">
      <c r="D36" s="181"/>
      <c r="H36" s="56"/>
      <c r="I36" s="74">
        <v>127183023</v>
      </c>
      <c r="J36" s="169"/>
      <c r="L36" s="74"/>
      <c r="N36" s="94"/>
      <c r="P36" s="74"/>
    </row>
    <row r="37" spans="7:14">
      <c r="G37" s="187"/>
      <c r="H37" s="56"/>
      <c r="I37" s="74">
        <f>I34-I36</f>
        <v>86194878.66</v>
      </c>
      <c r="J37" s="94"/>
      <c r="L37" s="74"/>
      <c r="M37" s="168"/>
      <c r="N37" s="94"/>
    </row>
    <row r="38" spans="8:18">
      <c r="H38" s="94">
        <v>3534300</v>
      </c>
      <c r="J38" s="74"/>
      <c r="L38" s="129"/>
      <c r="M38" s="74"/>
      <c r="N38" s="94"/>
      <c r="P38" s="74"/>
      <c r="R38" s="207"/>
    </row>
    <row r="39" spans="8:18">
      <c r="H39" s="94">
        <v>41250000</v>
      </c>
      <c r="J39" s="129"/>
      <c r="L39" s="74"/>
      <c r="M39" s="74"/>
      <c r="N39" s="94"/>
      <c r="P39" s="96"/>
      <c r="R39" s="74"/>
    </row>
    <row r="40" spans="8:14">
      <c r="H40" s="94">
        <v>4088700</v>
      </c>
      <c r="J40" s="129"/>
      <c r="L40" s="39"/>
      <c r="N40" s="96"/>
    </row>
    <row r="41" spans="8:12">
      <c r="H41" s="94">
        <v>1848000</v>
      </c>
      <c r="J41" s="74"/>
      <c r="L41" s="74"/>
    </row>
    <row r="42" spans="8:8">
      <c r="H42" s="94">
        <v>154431</v>
      </c>
    </row>
    <row r="43" spans="8:12">
      <c r="H43" s="94">
        <v>830500</v>
      </c>
      <c r="L43" s="74"/>
    </row>
    <row r="44" spans="8:8">
      <c r="H44" s="94">
        <v>9460000</v>
      </c>
    </row>
    <row r="45" spans="8:12">
      <c r="H45" s="94">
        <v>6022500</v>
      </c>
      <c r="L45" s="74"/>
    </row>
    <row r="46" spans="8:8">
      <c r="H46" s="94">
        <v>4730000</v>
      </c>
    </row>
    <row r="47" spans="8:9">
      <c r="H47" s="94">
        <v>4328500</v>
      </c>
      <c r="I47" s="74"/>
    </row>
    <row r="48" spans="8:8">
      <c r="H48" s="94">
        <v>377269</v>
      </c>
    </row>
    <row r="49" spans="8:9">
      <c r="H49" s="94">
        <v>2481600</v>
      </c>
      <c r="I49" s="56"/>
    </row>
    <row r="50" spans="8:9">
      <c r="H50" s="94">
        <v>346332</v>
      </c>
      <c r="I50" s="169"/>
    </row>
    <row r="51" spans="8:8">
      <c r="H51" s="94">
        <v>72689</v>
      </c>
    </row>
    <row r="52" spans="8:8">
      <c r="H52" s="94"/>
    </row>
    <row r="53" spans="8:8">
      <c r="H53" s="94">
        <v>1210000</v>
      </c>
    </row>
    <row r="54" spans="8:8">
      <c r="H54" s="94">
        <v>18326000</v>
      </c>
    </row>
    <row r="55" spans="8:8">
      <c r="H55" s="94">
        <v>2838000</v>
      </c>
    </row>
    <row r="56" spans="8:9">
      <c r="H56" s="94">
        <v>246078</v>
      </c>
      <c r="I56" s="57"/>
    </row>
    <row r="57" spans="8:9">
      <c r="H57" s="94"/>
      <c r="I57" s="96">
        <f>SUM(H38:H56)</f>
        <v>102144899</v>
      </c>
    </row>
    <row r="58" spans="8:9">
      <c r="H58" s="94"/>
      <c r="I58" s="74">
        <f>I37-I57</f>
        <v>-15950020.34</v>
      </c>
    </row>
    <row r="59" spans="8:8">
      <c r="H59" s="94"/>
    </row>
    <row r="60" spans="8:8">
      <c r="H60" s="94"/>
    </row>
    <row r="61" spans="8:8">
      <c r="H61" s="94"/>
    </row>
    <row r="62" spans="8:8">
      <c r="H62" s="94"/>
    </row>
    <row r="63" spans="8:8">
      <c r="H63" s="94"/>
    </row>
    <row r="64" spans="8:8">
      <c r="H64" s="94"/>
    </row>
    <row r="65" spans="8:8">
      <c r="H65" s="94"/>
    </row>
    <row r="66" spans="8:8">
      <c r="H66" s="94"/>
    </row>
    <row r="67" spans="8:8">
      <c r="H67" s="94"/>
    </row>
    <row r="68" spans="8:8">
      <c r="H68" s="94"/>
    </row>
    <row r="69" spans="8:8">
      <c r="H69" s="208"/>
    </row>
    <row r="71" spans="8:9">
      <c r="H71" s="96"/>
      <c r="I71" s="57"/>
    </row>
  </sheetData>
  <autoFilter xmlns:etc="http://www.wps.cn/officeDocument/2017/etCustomData" ref="A5:J34" etc:filterBottomFollowUsedRange="0">
    <filterColumn colId="3">
      <customFilters>
        <customFilter operator="notEqual" val="anchor"/>
      </customFilters>
    </filterColumn>
    <extLst/>
  </autoFilter>
  <mergeCells count="8">
    <mergeCell ref="D5:J5"/>
    <mergeCell ref="A5:A6"/>
    <mergeCell ref="B5:B6"/>
    <mergeCell ref="C5:C6"/>
    <mergeCell ref="L5:L6"/>
    <mergeCell ref="M5:M6"/>
    <mergeCell ref="N5:N6"/>
    <mergeCell ref="P5:P6"/>
  </mergeCells>
  <pageMargins left="0.7" right="0.7" top="0.75" bottom="0.75" header="0.3" footer="0.3"/>
  <pageSetup paperSize="1" orientation="portrait" horizontalDpi="360" verticalDpi="360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V67"/>
  <sheetViews>
    <sheetView workbookViewId="0">
      <pane ySplit="6" topLeftCell="A7" activePane="bottomLeft" state="frozen"/>
      <selection/>
      <selection pane="bottomLeft" activeCell="O22" sqref="O22"/>
    </sheetView>
  </sheetViews>
  <sheetFormatPr defaultColWidth="9" defaultRowHeight="16.8"/>
  <cols>
    <col min="1" max="1" width="12.2890625" customWidth="1"/>
    <col min="2" max="2" width="18.7109375" customWidth="1"/>
    <col min="3" max="3" width="36.5703125" customWidth="1"/>
    <col min="4" max="4" width="15.4296875" customWidth="1"/>
    <col min="5" max="5" width="14.2890625" customWidth="1"/>
    <col min="6" max="6" width="14.4296875" customWidth="1"/>
    <col min="7" max="7" width="14.140625" customWidth="1"/>
    <col min="8" max="8" width="16.859375" customWidth="1"/>
    <col min="9" max="9" width="13.4296875" customWidth="1"/>
    <col min="10" max="10" width="14.859375" customWidth="1"/>
    <col min="11" max="11" width="3.859375" customWidth="1"/>
    <col min="12" max="12" width="14" customWidth="1"/>
    <col min="13" max="13" width="12.859375" customWidth="1"/>
    <col min="14" max="14" width="13" customWidth="1"/>
    <col min="15" max="15" width="14.859375" customWidth="1"/>
    <col min="16" max="16" width="3.859375" customWidth="1"/>
    <col min="17" max="17" width="14.4296875" customWidth="1"/>
    <col min="18" max="18" width="12.5703125" customWidth="1"/>
    <col min="19" max="19" width="32.859375" customWidth="1"/>
    <col min="20" max="20" width="11" customWidth="1"/>
    <col min="22" max="22" width="10.5703125" customWidth="1"/>
  </cols>
  <sheetData>
    <row r="1" ht="17.6" spans="1:15">
      <c r="A1" s="2" t="s">
        <v>278</v>
      </c>
      <c r="B1" s="2"/>
      <c r="C1" s="1"/>
      <c r="D1" s="3"/>
      <c r="E1" s="25"/>
      <c r="F1" s="26"/>
      <c r="G1" s="27"/>
      <c r="O1" s="94"/>
    </row>
    <row r="2" spans="1:15">
      <c r="A2" s="1"/>
      <c r="B2" s="1"/>
      <c r="C2" s="1"/>
      <c r="D2" s="3"/>
      <c r="E2" s="25"/>
      <c r="F2" s="1"/>
      <c r="G2" s="27"/>
      <c r="J2" s="129"/>
      <c r="N2" s="129"/>
      <c r="O2" s="74"/>
    </row>
    <row r="3" spans="1:15">
      <c r="A3" s="4" t="s">
        <v>28</v>
      </c>
      <c r="B3" s="1"/>
      <c r="C3" s="1"/>
      <c r="D3" s="3"/>
      <c r="E3" s="25"/>
      <c r="F3" s="1"/>
      <c r="G3" s="27"/>
      <c r="J3" s="129"/>
      <c r="N3" s="129"/>
      <c r="O3" s="74"/>
    </row>
    <row r="4" spans="1:15">
      <c r="A4" s="4"/>
      <c r="B4" s="1"/>
      <c r="C4" s="1"/>
      <c r="D4" s="3"/>
      <c r="E4" s="25"/>
      <c r="F4" s="1"/>
      <c r="G4" s="27"/>
      <c r="O4" s="74"/>
    </row>
    <row r="5" ht="22.5" customHeight="1" spans="1:17">
      <c r="A5" s="5" t="s">
        <v>29</v>
      </c>
      <c r="B5" s="6" t="s">
        <v>30</v>
      </c>
      <c r="C5" s="5" t="s">
        <v>31</v>
      </c>
      <c r="D5" s="7" t="s">
        <v>5</v>
      </c>
      <c r="E5" s="7"/>
      <c r="F5" s="7"/>
      <c r="G5" s="7"/>
      <c r="H5" s="7"/>
      <c r="I5" s="7"/>
      <c r="J5" s="7"/>
      <c r="L5" s="41" t="s">
        <v>32</v>
      </c>
      <c r="M5" s="41" t="s">
        <v>33</v>
      </c>
      <c r="N5" s="41" t="s">
        <v>279</v>
      </c>
      <c r="O5" s="41" t="s">
        <v>34</v>
      </c>
      <c r="Q5" s="41" t="s">
        <v>35</v>
      </c>
    </row>
    <row r="6" ht="17.6" spans="1:17">
      <c r="A6" s="8"/>
      <c r="B6" s="9"/>
      <c r="C6" s="8"/>
      <c r="D6" s="10" t="s">
        <v>6</v>
      </c>
      <c r="E6" s="10" t="s">
        <v>7</v>
      </c>
      <c r="F6" s="28" t="s">
        <v>8</v>
      </c>
      <c r="G6" s="28" t="s">
        <v>9</v>
      </c>
      <c r="H6" s="28" t="s">
        <v>10</v>
      </c>
      <c r="I6" s="42" t="s">
        <v>28</v>
      </c>
      <c r="J6" s="42" t="s">
        <v>36</v>
      </c>
      <c r="L6" s="58"/>
      <c r="M6" s="58"/>
      <c r="N6" s="58"/>
      <c r="O6" s="58"/>
      <c r="Q6" s="41"/>
    </row>
    <row r="7" s="1" customFormat="1" ht="17.6" spans="1:22">
      <c r="A7" s="14">
        <v>45902</v>
      </c>
      <c r="B7" s="14" t="s">
        <v>280</v>
      </c>
      <c r="C7" s="15" t="s">
        <v>57</v>
      </c>
      <c r="D7" s="154"/>
      <c r="E7" s="159">
        <v>7362000</v>
      </c>
      <c r="F7" s="155"/>
      <c r="G7" s="160"/>
      <c r="H7" s="161">
        <f>SUM(D7:G7)</f>
        <v>7362000</v>
      </c>
      <c r="I7" s="165">
        <f>H7*0.11</f>
        <v>809820</v>
      </c>
      <c r="J7" s="165">
        <f>SUM(H7:I7)</f>
        <v>8171820</v>
      </c>
      <c r="K7" s="89"/>
      <c r="L7" s="50">
        <v>45933</v>
      </c>
      <c r="M7" s="170"/>
      <c r="N7" s="170"/>
      <c r="O7" s="153">
        <f t="shared" ref="O7:O21" si="0">J7-M7-N7</f>
        <v>8171820</v>
      </c>
      <c r="Q7" s="174">
        <f t="shared" ref="Q7:Q30" si="1">J7-M7-O7-N7</f>
        <v>0</v>
      </c>
      <c r="S7" s="12"/>
      <c r="T7" s="12"/>
      <c r="U7" s="12"/>
      <c r="V7" s="12"/>
    </row>
    <row r="8" s="1" customFormat="1" ht="17.6" spans="1:22">
      <c r="A8" s="14">
        <v>45901</v>
      </c>
      <c r="B8" s="14" t="s">
        <v>281</v>
      </c>
      <c r="C8" s="15" t="s">
        <v>255</v>
      </c>
      <c r="D8" s="154"/>
      <c r="E8" s="159">
        <v>20147500</v>
      </c>
      <c r="F8" s="155"/>
      <c r="G8" s="159"/>
      <c r="H8" s="162">
        <f>SUM(D8:G8)</f>
        <v>20147500</v>
      </c>
      <c r="I8" s="155">
        <f>H8*0.11</f>
        <v>2216225</v>
      </c>
      <c r="J8" s="155">
        <f t="shared" ref="J8:J28" si="2">SUM(H8:I8)</f>
        <v>22363725</v>
      </c>
      <c r="K8" s="89"/>
      <c r="L8" s="152">
        <v>45902</v>
      </c>
      <c r="M8" s="171"/>
      <c r="N8" s="171"/>
      <c r="O8" s="153">
        <f t="shared" si="0"/>
        <v>22363725</v>
      </c>
      <c r="Q8" s="174">
        <f t="shared" si="1"/>
        <v>0</v>
      </c>
      <c r="S8" s="15"/>
      <c r="T8" s="15"/>
      <c r="U8" s="15"/>
      <c r="V8" s="15"/>
    </row>
    <row r="9" s="1" customFormat="1" ht="17.6" spans="1:22">
      <c r="A9" s="14">
        <v>45901</v>
      </c>
      <c r="B9" s="14" t="s">
        <v>282</v>
      </c>
      <c r="C9" s="15" t="s">
        <v>248</v>
      </c>
      <c r="D9" s="155"/>
      <c r="E9" s="159">
        <v>227548000</v>
      </c>
      <c r="F9" s="155"/>
      <c r="G9" s="159"/>
      <c r="H9" s="162">
        <f t="shared" ref="H9:H30" si="3">SUM(D9:G9)</f>
        <v>227548000</v>
      </c>
      <c r="I9" s="155">
        <f>H9*0.11</f>
        <v>25030280</v>
      </c>
      <c r="J9" s="155">
        <f t="shared" si="2"/>
        <v>252578280</v>
      </c>
      <c r="K9" s="89"/>
      <c r="L9" s="166">
        <v>45946</v>
      </c>
      <c r="M9" s="172"/>
      <c r="N9" s="172"/>
      <c r="O9" s="153">
        <f t="shared" si="0"/>
        <v>252578280</v>
      </c>
      <c r="Q9" s="174">
        <f t="shared" si="1"/>
        <v>0</v>
      </c>
      <c r="S9" s="15"/>
      <c r="T9" s="15"/>
      <c r="U9" s="15"/>
      <c r="V9" s="15"/>
    </row>
    <row r="10" s="1" customFormat="1" ht="17.6" spans="1:22">
      <c r="A10" s="14">
        <v>45901</v>
      </c>
      <c r="B10" s="14" t="s">
        <v>283</v>
      </c>
      <c r="C10" s="15" t="s">
        <v>248</v>
      </c>
      <c r="D10" s="155"/>
      <c r="E10" s="159">
        <v>17634300</v>
      </c>
      <c r="F10" s="155"/>
      <c r="G10" s="159"/>
      <c r="H10" s="162">
        <f t="shared" si="3"/>
        <v>17634300</v>
      </c>
      <c r="I10" s="155">
        <f t="shared" ref="I10:I30" si="4">H10*0.11</f>
        <v>1939773</v>
      </c>
      <c r="J10" s="155">
        <f t="shared" si="2"/>
        <v>19574073</v>
      </c>
      <c r="K10" s="89"/>
      <c r="L10" s="152">
        <v>45946</v>
      </c>
      <c r="M10" s="171"/>
      <c r="N10" s="171"/>
      <c r="O10" s="153">
        <f t="shared" si="0"/>
        <v>19574073</v>
      </c>
      <c r="Q10" s="174">
        <f t="shared" si="1"/>
        <v>0</v>
      </c>
      <c r="R10" s="175"/>
      <c r="S10" s="15"/>
      <c r="T10" s="15"/>
      <c r="U10" s="15"/>
      <c r="V10" s="15"/>
    </row>
    <row r="11" s="1" customFormat="1" ht="17.6" spans="1:22">
      <c r="A11" s="14">
        <v>45903</v>
      </c>
      <c r="B11" s="14" t="s">
        <v>284</v>
      </c>
      <c r="C11" s="15" t="s">
        <v>38</v>
      </c>
      <c r="D11" s="155"/>
      <c r="E11" s="159">
        <v>3900000</v>
      </c>
      <c r="F11" s="155"/>
      <c r="G11" s="159"/>
      <c r="H11" s="162">
        <f t="shared" si="3"/>
        <v>3900000</v>
      </c>
      <c r="I11" s="155">
        <f t="shared" si="4"/>
        <v>429000</v>
      </c>
      <c r="J11" s="155">
        <f t="shared" si="2"/>
        <v>4329000</v>
      </c>
      <c r="K11" s="89"/>
      <c r="L11" s="152">
        <v>45917</v>
      </c>
      <c r="M11" s="173"/>
      <c r="N11" s="173"/>
      <c r="O11" s="153">
        <f t="shared" si="0"/>
        <v>4329000</v>
      </c>
      <c r="Q11" s="174">
        <f t="shared" si="1"/>
        <v>0</v>
      </c>
      <c r="S11" s="15"/>
      <c r="T11" s="15"/>
      <c r="U11" s="15"/>
      <c r="V11" s="15"/>
    </row>
    <row r="12" s="1" customFormat="1" ht="17.6" spans="1:22">
      <c r="A12" s="14">
        <v>45903</v>
      </c>
      <c r="B12" s="14" t="s">
        <v>285</v>
      </c>
      <c r="C12" s="15" t="s">
        <v>59</v>
      </c>
      <c r="D12" s="155"/>
      <c r="E12" s="159"/>
      <c r="F12" s="155">
        <v>3810000</v>
      </c>
      <c r="G12" s="159"/>
      <c r="H12" s="162">
        <f t="shared" si="3"/>
        <v>3810000</v>
      </c>
      <c r="I12" s="155">
        <f t="shared" si="4"/>
        <v>419100</v>
      </c>
      <c r="J12" s="155">
        <f t="shared" si="2"/>
        <v>4229100</v>
      </c>
      <c r="K12" s="89"/>
      <c r="L12" s="152">
        <v>45938</v>
      </c>
      <c r="M12" s="172"/>
      <c r="N12" s="172"/>
      <c r="O12" s="153">
        <f t="shared" si="0"/>
        <v>4229100</v>
      </c>
      <c r="Q12" s="174">
        <f t="shared" si="1"/>
        <v>0</v>
      </c>
      <c r="S12" s="15"/>
      <c r="T12" s="15"/>
      <c r="U12" s="15"/>
      <c r="V12" s="15"/>
    </row>
    <row r="13" s="1" customFormat="1" ht="17.6" spans="1:22">
      <c r="A13" s="14">
        <v>45903</v>
      </c>
      <c r="B13" s="14" t="s">
        <v>286</v>
      </c>
      <c r="C13" s="15" t="s">
        <v>287</v>
      </c>
      <c r="D13" s="155"/>
      <c r="E13" s="159"/>
      <c r="F13" s="155"/>
      <c r="G13" s="159">
        <v>1200000</v>
      </c>
      <c r="H13" s="162">
        <f t="shared" si="3"/>
        <v>1200000</v>
      </c>
      <c r="I13" s="155">
        <f t="shared" si="4"/>
        <v>132000</v>
      </c>
      <c r="J13" s="155">
        <f t="shared" si="2"/>
        <v>1332000</v>
      </c>
      <c r="K13" s="89"/>
      <c r="L13" s="152">
        <v>45903</v>
      </c>
      <c r="M13" s="172"/>
      <c r="N13" s="172"/>
      <c r="O13" s="153">
        <f t="shared" si="0"/>
        <v>1332000</v>
      </c>
      <c r="Q13" s="174">
        <f t="shared" si="1"/>
        <v>0</v>
      </c>
      <c r="S13" s="15"/>
      <c r="T13" s="15"/>
      <c r="U13" s="15"/>
      <c r="V13" s="15"/>
    </row>
    <row r="14" s="1" customFormat="1" ht="17.6" spans="1:22">
      <c r="A14" s="14">
        <v>45908</v>
      </c>
      <c r="B14" s="14" t="s">
        <v>288</v>
      </c>
      <c r="C14" s="15" t="s">
        <v>42</v>
      </c>
      <c r="D14" s="155"/>
      <c r="E14" s="159"/>
      <c r="F14" s="155">
        <v>37050000</v>
      </c>
      <c r="G14" s="159"/>
      <c r="H14" s="162">
        <f t="shared" si="3"/>
        <v>37050000</v>
      </c>
      <c r="I14" s="155">
        <f t="shared" si="4"/>
        <v>4075500</v>
      </c>
      <c r="J14" s="155">
        <f t="shared" si="2"/>
        <v>41125500</v>
      </c>
      <c r="K14" s="89"/>
      <c r="L14" s="152">
        <v>45945</v>
      </c>
      <c r="M14" s="172"/>
      <c r="N14" s="172"/>
      <c r="O14" s="153">
        <f t="shared" si="0"/>
        <v>41125500</v>
      </c>
      <c r="Q14" s="174">
        <f t="shared" si="1"/>
        <v>0</v>
      </c>
      <c r="S14" s="15"/>
      <c r="T14" s="15"/>
      <c r="U14" s="15"/>
      <c r="V14" s="15"/>
    </row>
    <row r="15" s="1" customFormat="1" ht="17.6" spans="1:22">
      <c r="A15" s="14">
        <v>45908</v>
      </c>
      <c r="B15" s="14" t="s">
        <v>289</v>
      </c>
      <c r="C15" s="15" t="s">
        <v>42</v>
      </c>
      <c r="D15" s="155"/>
      <c r="E15" s="159"/>
      <c r="F15" s="155">
        <v>10000000</v>
      </c>
      <c r="G15" s="159"/>
      <c r="H15" s="162">
        <f t="shared" si="3"/>
        <v>10000000</v>
      </c>
      <c r="I15" s="155">
        <f t="shared" si="4"/>
        <v>1100000</v>
      </c>
      <c r="J15" s="155">
        <f t="shared" si="2"/>
        <v>11100000</v>
      </c>
      <c r="K15" s="89"/>
      <c r="L15" s="152">
        <v>45945</v>
      </c>
      <c r="M15" s="172"/>
      <c r="N15" s="172"/>
      <c r="O15" s="153">
        <f t="shared" si="0"/>
        <v>11100000</v>
      </c>
      <c r="Q15" s="174">
        <f t="shared" si="1"/>
        <v>0</v>
      </c>
      <c r="S15" s="15"/>
      <c r="T15" s="15"/>
      <c r="U15" s="15"/>
      <c r="V15" s="15"/>
    </row>
    <row r="16" s="1" customFormat="1" ht="17.6" spans="1:22">
      <c r="A16" s="14">
        <v>45904</v>
      </c>
      <c r="B16" s="14" t="s">
        <v>290</v>
      </c>
      <c r="C16" s="15" t="s">
        <v>38</v>
      </c>
      <c r="D16" s="155"/>
      <c r="E16" s="159"/>
      <c r="F16" s="155">
        <v>5100000</v>
      </c>
      <c r="G16" s="159"/>
      <c r="H16" s="162">
        <f t="shared" si="3"/>
        <v>5100000</v>
      </c>
      <c r="I16" s="155">
        <f t="shared" si="4"/>
        <v>561000</v>
      </c>
      <c r="J16" s="155">
        <f t="shared" si="2"/>
        <v>5661000</v>
      </c>
      <c r="K16" s="89"/>
      <c r="L16" s="152">
        <v>45951</v>
      </c>
      <c r="M16" s="173"/>
      <c r="N16" s="173"/>
      <c r="O16" s="153">
        <f t="shared" si="0"/>
        <v>5661000</v>
      </c>
      <c r="Q16" s="174">
        <f t="shared" si="1"/>
        <v>0</v>
      </c>
      <c r="S16" s="15"/>
      <c r="T16" s="15"/>
      <c r="U16" s="15"/>
      <c r="V16" s="15"/>
    </row>
    <row r="17" s="1" customFormat="1" ht="17.6" spans="1:22">
      <c r="A17" s="14">
        <v>45913</v>
      </c>
      <c r="B17" s="14" t="s">
        <v>291</v>
      </c>
      <c r="C17" s="15" t="s">
        <v>42</v>
      </c>
      <c r="D17" s="155">
        <v>165000000</v>
      </c>
      <c r="E17" s="159"/>
      <c r="F17" s="155"/>
      <c r="G17" s="159"/>
      <c r="H17" s="162">
        <f t="shared" si="3"/>
        <v>165000000</v>
      </c>
      <c r="I17" s="155">
        <f t="shared" si="4"/>
        <v>18150000</v>
      </c>
      <c r="J17" s="155">
        <f t="shared" si="2"/>
        <v>183150000</v>
      </c>
      <c r="K17" s="89"/>
      <c r="L17" s="167">
        <v>45945</v>
      </c>
      <c r="M17" s="173">
        <f>D17*0.02</f>
        <v>3300000</v>
      </c>
      <c r="N17" s="173">
        <v>1000</v>
      </c>
      <c r="O17" s="153">
        <f t="shared" si="0"/>
        <v>179849000</v>
      </c>
      <c r="Q17" s="174">
        <f t="shared" si="1"/>
        <v>0</v>
      </c>
      <c r="R17" s="73"/>
      <c r="S17" s="153"/>
      <c r="T17" s="15"/>
      <c r="U17" s="15"/>
      <c r="V17" s="15"/>
    </row>
    <row r="18" s="1" customFormat="1" ht="17.6" spans="1:22">
      <c r="A18" s="14">
        <v>45911</v>
      </c>
      <c r="B18" s="14" t="s">
        <v>292</v>
      </c>
      <c r="C18" s="15" t="s">
        <v>57</v>
      </c>
      <c r="D18" s="155"/>
      <c r="E18" s="159">
        <v>33000000</v>
      </c>
      <c r="F18" s="155"/>
      <c r="G18" s="159"/>
      <c r="H18" s="162">
        <f t="shared" si="3"/>
        <v>33000000</v>
      </c>
      <c r="I18" s="155">
        <f t="shared" si="4"/>
        <v>3630000</v>
      </c>
      <c r="J18" s="155">
        <f t="shared" si="2"/>
        <v>36630000</v>
      </c>
      <c r="K18" s="89"/>
      <c r="L18" s="152">
        <v>45947</v>
      </c>
      <c r="M18" s="171"/>
      <c r="N18" s="171"/>
      <c r="O18" s="153">
        <f t="shared" si="0"/>
        <v>36630000</v>
      </c>
      <c r="Q18" s="174">
        <f t="shared" si="1"/>
        <v>0</v>
      </c>
      <c r="S18" s="15"/>
      <c r="T18" s="15"/>
      <c r="U18" s="152"/>
      <c r="V18" s="153"/>
    </row>
    <row r="19" s="1" customFormat="1" ht="17.6" spans="1:22">
      <c r="A19" s="14">
        <v>45911</v>
      </c>
      <c r="B19" s="14" t="s">
        <v>293</v>
      </c>
      <c r="C19" s="15" t="s">
        <v>52</v>
      </c>
      <c r="D19" s="154"/>
      <c r="E19" s="159"/>
      <c r="F19" s="155">
        <v>23750000</v>
      </c>
      <c r="G19" s="159"/>
      <c r="H19" s="162">
        <f t="shared" si="3"/>
        <v>23750000</v>
      </c>
      <c r="I19" s="155">
        <f t="shared" si="4"/>
        <v>2612500</v>
      </c>
      <c r="J19" s="155">
        <f t="shared" si="2"/>
        <v>26362500</v>
      </c>
      <c r="K19" s="89"/>
      <c r="L19" s="50">
        <v>45945</v>
      </c>
      <c r="M19" s="172"/>
      <c r="N19" s="172"/>
      <c r="O19" s="153">
        <f t="shared" si="0"/>
        <v>26362500</v>
      </c>
      <c r="Q19" s="174">
        <f t="shared" si="1"/>
        <v>0</v>
      </c>
      <c r="S19" s="15"/>
      <c r="T19" s="15"/>
      <c r="U19" s="15"/>
      <c r="V19" s="15"/>
    </row>
    <row r="20" s="1" customFormat="1" ht="17.6" spans="1:22">
      <c r="A20" s="14">
        <v>45912</v>
      </c>
      <c r="B20" s="14" t="s">
        <v>294</v>
      </c>
      <c r="C20" s="15" t="s">
        <v>98</v>
      </c>
      <c r="D20" s="155"/>
      <c r="E20" s="159">
        <v>91800000</v>
      </c>
      <c r="F20" s="155"/>
      <c r="G20" s="159"/>
      <c r="H20" s="162">
        <f t="shared" si="3"/>
        <v>91800000</v>
      </c>
      <c r="I20" s="155">
        <f t="shared" si="4"/>
        <v>10098000</v>
      </c>
      <c r="J20" s="155">
        <f t="shared" si="2"/>
        <v>101898000</v>
      </c>
      <c r="K20" s="89"/>
      <c r="L20" s="152">
        <v>45986</v>
      </c>
      <c r="M20" s="172"/>
      <c r="N20" s="172"/>
      <c r="O20" s="153">
        <f t="shared" si="0"/>
        <v>101898000</v>
      </c>
      <c r="Q20" s="174">
        <f t="shared" si="1"/>
        <v>0</v>
      </c>
      <c r="S20" s="15"/>
      <c r="T20" s="15"/>
      <c r="U20" s="15"/>
      <c r="V20" s="15"/>
    </row>
    <row r="21" s="1" customFormat="1" ht="17.6" spans="1:22">
      <c r="A21" s="14">
        <v>45919</v>
      </c>
      <c r="B21" s="14" t="s">
        <v>295</v>
      </c>
      <c r="C21" s="15" t="s">
        <v>209</v>
      </c>
      <c r="D21" s="155"/>
      <c r="E21" s="159"/>
      <c r="F21" s="155">
        <v>6200000</v>
      </c>
      <c r="G21" s="159"/>
      <c r="H21" s="162">
        <f t="shared" si="3"/>
        <v>6200000</v>
      </c>
      <c r="I21" s="155">
        <f t="shared" si="4"/>
        <v>682000</v>
      </c>
      <c r="J21" s="155">
        <f t="shared" si="2"/>
        <v>6882000</v>
      </c>
      <c r="K21" s="89"/>
      <c r="L21" s="167">
        <v>45988</v>
      </c>
      <c r="M21" s="173"/>
      <c r="N21" s="173"/>
      <c r="O21" s="153">
        <f t="shared" si="0"/>
        <v>6882000</v>
      </c>
      <c r="Q21" s="174">
        <f t="shared" si="1"/>
        <v>0</v>
      </c>
      <c r="S21" s="15"/>
      <c r="T21" s="15"/>
      <c r="U21" s="152"/>
      <c r="V21" s="153"/>
    </row>
    <row r="22" s="1" customFormat="1" ht="17.6" spans="1:22">
      <c r="A22" s="14">
        <v>45917</v>
      </c>
      <c r="B22" s="14" t="s">
        <v>296</v>
      </c>
      <c r="C22" s="15" t="s">
        <v>265</v>
      </c>
      <c r="D22" s="155">
        <v>52000000</v>
      </c>
      <c r="E22" s="159"/>
      <c r="F22" s="155"/>
      <c r="G22" s="159"/>
      <c r="H22" s="162">
        <f t="shared" si="3"/>
        <v>52000000</v>
      </c>
      <c r="I22" s="155">
        <f t="shared" si="4"/>
        <v>5720000</v>
      </c>
      <c r="J22" s="155">
        <f t="shared" si="2"/>
        <v>57720000</v>
      </c>
      <c r="K22" s="89"/>
      <c r="L22" s="167"/>
      <c r="M22" s="173"/>
      <c r="N22" s="173"/>
      <c r="O22" s="153">
        <v>0</v>
      </c>
      <c r="Q22" s="174">
        <f t="shared" si="1"/>
        <v>57720000</v>
      </c>
      <c r="S22" s="15"/>
      <c r="T22" s="15"/>
      <c r="U22" s="152"/>
      <c r="V22" s="153"/>
    </row>
    <row r="23" s="1" customFormat="1" ht="17.6" spans="1:22">
      <c r="A23" s="14">
        <v>45917</v>
      </c>
      <c r="B23" s="14" t="s">
        <v>297</v>
      </c>
      <c r="C23" s="15" t="s">
        <v>265</v>
      </c>
      <c r="D23" s="155">
        <v>146600000</v>
      </c>
      <c r="E23" s="159"/>
      <c r="F23" s="155"/>
      <c r="G23" s="159"/>
      <c r="H23" s="162">
        <f t="shared" si="3"/>
        <v>146600000</v>
      </c>
      <c r="I23" s="155">
        <f t="shared" si="4"/>
        <v>16126000</v>
      </c>
      <c r="J23" s="155">
        <f t="shared" si="2"/>
        <v>162726000</v>
      </c>
      <c r="K23" s="89"/>
      <c r="L23" s="167"/>
      <c r="M23" s="173"/>
      <c r="N23" s="173"/>
      <c r="O23" s="153">
        <v>0</v>
      </c>
      <c r="Q23" s="174">
        <f t="shared" si="1"/>
        <v>162726000</v>
      </c>
      <c r="S23" s="15"/>
      <c r="T23" s="15"/>
      <c r="U23" s="152"/>
      <c r="V23" s="153"/>
    </row>
    <row r="24" s="1" customFormat="1" ht="17.6" spans="1:22">
      <c r="A24" s="14">
        <v>45923</v>
      </c>
      <c r="B24" s="14" t="s">
        <v>298</v>
      </c>
      <c r="C24" s="15" t="s">
        <v>42</v>
      </c>
      <c r="D24" s="155">
        <v>85700000</v>
      </c>
      <c r="E24" s="159"/>
      <c r="F24" s="155"/>
      <c r="G24" s="159"/>
      <c r="H24" s="162">
        <f t="shared" si="3"/>
        <v>85700000</v>
      </c>
      <c r="I24" s="155">
        <f t="shared" si="4"/>
        <v>9427000</v>
      </c>
      <c r="J24" s="155">
        <f t="shared" si="2"/>
        <v>95127000</v>
      </c>
      <c r="K24" s="89"/>
      <c r="L24" s="167">
        <v>45961</v>
      </c>
      <c r="M24" s="173">
        <f>D24*0.02</f>
        <v>1714000</v>
      </c>
      <c r="N24" s="173">
        <v>1000</v>
      </c>
      <c r="O24" s="153">
        <f>J24-M24-N24</f>
        <v>93412000</v>
      </c>
      <c r="Q24" s="174">
        <f t="shared" si="1"/>
        <v>0</v>
      </c>
      <c r="S24" s="15"/>
      <c r="T24" s="15"/>
      <c r="U24" s="152"/>
      <c r="V24" s="153"/>
    </row>
    <row r="25" s="1" customFormat="1" ht="17.6" spans="1:22">
      <c r="A25" s="14">
        <v>45923</v>
      </c>
      <c r="B25" s="14" t="s">
        <v>299</v>
      </c>
      <c r="C25" s="15" t="s">
        <v>300</v>
      </c>
      <c r="D25" s="155"/>
      <c r="E25" s="159">
        <v>780000</v>
      </c>
      <c r="F25" s="155"/>
      <c r="G25" s="159"/>
      <c r="H25" s="162">
        <f t="shared" si="3"/>
        <v>780000</v>
      </c>
      <c r="I25" s="155">
        <f t="shared" si="4"/>
        <v>85800</v>
      </c>
      <c r="J25" s="155">
        <f t="shared" si="2"/>
        <v>865800</v>
      </c>
      <c r="K25" s="89"/>
      <c r="L25" s="167">
        <v>45922</v>
      </c>
      <c r="M25" s="173"/>
      <c r="N25" s="173"/>
      <c r="O25" s="153">
        <f>J25-M25-N25</f>
        <v>865800</v>
      </c>
      <c r="Q25" s="174">
        <f t="shared" si="1"/>
        <v>0</v>
      </c>
      <c r="S25" s="15"/>
      <c r="T25" s="15"/>
      <c r="U25" s="152"/>
      <c r="V25" s="153"/>
    </row>
    <row r="26" s="1" customFormat="1" ht="17.6" spans="1:22">
      <c r="A26" s="14">
        <v>45923</v>
      </c>
      <c r="B26" s="14" t="s">
        <v>301</v>
      </c>
      <c r="C26" s="15" t="s">
        <v>164</v>
      </c>
      <c r="D26" s="155"/>
      <c r="E26" s="159"/>
      <c r="F26" s="155">
        <v>5715000</v>
      </c>
      <c r="G26" s="159"/>
      <c r="H26" s="162">
        <f t="shared" si="3"/>
        <v>5715000</v>
      </c>
      <c r="I26" s="155">
        <f t="shared" si="4"/>
        <v>628650</v>
      </c>
      <c r="J26" s="155">
        <f t="shared" si="2"/>
        <v>6343650</v>
      </c>
      <c r="K26" s="89"/>
      <c r="L26" s="167">
        <v>45954</v>
      </c>
      <c r="M26" s="173"/>
      <c r="N26" s="173"/>
      <c r="O26" s="153">
        <f>J26-M26-N26</f>
        <v>6343650</v>
      </c>
      <c r="Q26" s="174">
        <f t="shared" si="1"/>
        <v>0</v>
      </c>
      <c r="S26" s="15"/>
      <c r="T26" s="15"/>
      <c r="U26" s="152"/>
      <c r="V26" s="153"/>
    </row>
    <row r="27" s="1" customFormat="1" ht="17.6" spans="1:22">
      <c r="A27" s="14">
        <v>45930</v>
      </c>
      <c r="B27" s="14" t="s">
        <v>302</v>
      </c>
      <c r="C27" s="15" t="s">
        <v>42</v>
      </c>
      <c r="D27" s="155"/>
      <c r="E27" s="159"/>
      <c r="F27" s="155">
        <v>98400000</v>
      </c>
      <c r="G27" s="159"/>
      <c r="H27" s="162">
        <f t="shared" si="3"/>
        <v>98400000</v>
      </c>
      <c r="I27" s="155">
        <f t="shared" si="4"/>
        <v>10824000</v>
      </c>
      <c r="J27" s="155">
        <f t="shared" si="2"/>
        <v>109224000</v>
      </c>
      <c r="K27" s="89"/>
      <c r="L27" s="167">
        <v>45961</v>
      </c>
      <c r="M27" s="173"/>
      <c r="N27" s="173"/>
      <c r="O27" s="153">
        <f>J27-M27-N27</f>
        <v>109224000</v>
      </c>
      <c r="Q27" s="174">
        <f t="shared" si="1"/>
        <v>0</v>
      </c>
      <c r="R27" s="175">
        <f>Q24+Q27</f>
        <v>0</v>
      </c>
      <c r="S27" s="15"/>
      <c r="T27" s="15"/>
      <c r="U27" s="152"/>
      <c r="V27" s="153"/>
    </row>
    <row r="28" s="1" customFormat="1" ht="17.6" spans="1:22">
      <c r="A28" s="14">
        <v>45930</v>
      </c>
      <c r="B28" s="14" t="s">
        <v>303</v>
      </c>
      <c r="C28" s="15" t="s">
        <v>85</v>
      </c>
      <c r="D28" s="155"/>
      <c r="E28" s="159">
        <v>14490000</v>
      </c>
      <c r="F28" s="155"/>
      <c r="G28" s="159"/>
      <c r="H28" s="162">
        <f t="shared" si="3"/>
        <v>14490000</v>
      </c>
      <c r="I28" s="155">
        <f t="shared" si="4"/>
        <v>1593900</v>
      </c>
      <c r="J28" s="155">
        <f t="shared" si="2"/>
        <v>16083900</v>
      </c>
      <c r="K28" s="89"/>
      <c r="L28" s="167">
        <v>45961</v>
      </c>
      <c r="M28" s="173"/>
      <c r="N28" s="173"/>
      <c r="O28" s="153">
        <f>J28-M28-N28</f>
        <v>16083900</v>
      </c>
      <c r="Q28" s="174">
        <f t="shared" si="1"/>
        <v>0</v>
      </c>
      <c r="S28" s="15"/>
      <c r="T28" s="15"/>
      <c r="U28" s="152"/>
      <c r="V28" s="153"/>
    </row>
    <row r="29" s="1" customFormat="1" ht="17.6" spans="1:22">
      <c r="A29" s="14"/>
      <c r="B29" s="14"/>
      <c r="C29" s="15"/>
      <c r="D29" s="155"/>
      <c r="E29" s="159"/>
      <c r="F29" s="155"/>
      <c r="G29" s="159"/>
      <c r="H29" s="162">
        <f t="shared" si="3"/>
        <v>0</v>
      </c>
      <c r="I29" s="155">
        <f t="shared" si="4"/>
        <v>0</v>
      </c>
      <c r="J29" s="155">
        <f t="shared" ref="J29:J30" si="5">SUM(H29:I29)</f>
        <v>0</v>
      </c>
      <c r="K29" s="89"/>
      <c r="L29" s="167"/>
      <c r="M29" s="173"/>
      <c r="N29" s="173"/>
      <c r="O29" s="153">
        <f t="shared" ref="O29:O30" si="6">J29-M29-N29</f>
        <v>0</v>
      </c>
      <c r="Q29" s="174">
        <f t="shared" si="1"/>
        <v>0</v>
      </c>
      <c r="S29" s="15"/>
      <c r="T29" s="15"/>
      <c r="U29" s="152"/>
      <c r="V29" s="153"/>
    </row>
    <row r="30" s="1" customFormat="1" ht="17.6" spans="1:22">
      <c r="A30" s="119"/>
      <c r="B30" s="119"/>
      <c r="C30" s="120"/>
      <c r="D30" s="156"/>
      <c r="E30" s="163"/>
      <c r="F30" s="156"/>
      <c r="G30" s="163"/>
      <c r="H30" s="162">
        <f t="shared" si="3"/>
        <v>0</v>
      </c>
      <c r="I30" s="156">
        <f t="shared" si="4"/>
        <v>0</v>
      </c>
      <c r="J30" s="156">
        <f t="shared" si="5"/>
        <v>0</v>
      </c>
      <c r="K30" s="89"/>
      <c r="L30" s="167"/>
      <c r="M30" s="173"/>
      <c r="N30" s="173"/>
      <c r="O30" s="153">
        <f t="shared" si="6"/>
        <v>0</v>
      </c>
      <c r="Q30" s="174">
        <f t="shared" si="1"/>
        <v>0</v>
      </c>
      <c r="S30" s="15"/>
      <c r="T30" s="15"/>
      <c r="U30" s="152"/>
      <c r="V30" s="153"/>
    </row>
    <row r="31" ht="21.75" customHeight="1" spans="1:22">
      <c r="A31" s="157"/>
      <c r="B31" s="157"/>
      <c r="C31" s="158" t="s">
        <v>10</v>
      </c>
      <c r="D31" s="38">
        <f t="shared" ref="D31:J31" si="7">SUM(D7:D30)</f>
        <v>449300000</v>
      </c>
      <c r="E31" s="38">
        <f t="shared" si="7"/>
        <v>416661800</v>
      </c>
      <c r="F31" s="38">
        <f t="shared" si="7"/>
        <v>190025000</v>
      </c>
      <c r="G31" s="38">
        <f t="shared" si="7"/>
        <v>1200000</v>
      </c>
      <c r="H31" s="93">
        <f t="shared" si="7"/>
        <v>1057186800</v>
      </c>
      <c r="I31" s="93">
        <f t="shared" si="7"/>
        <v>116290548</v>
      </c>
      <c r="J31" s="93">
        <f t="shared" si="7"/>
        <v>1173477348</v>
      </c>
      <c r="L31" s="93"/>
      <c r="M31" s="38">
        <f>SUM(M7:M30)</f>
        <v>5014000</v>
      </c>
      <c r="N31" s="38">
        <f>SUM(N7:N30)</f>
        <v>2000</v>
      </c>
      <c r="O31" s="38">
        <f>SUM(O7:O30)</f>
        <v>948015348</v>
      </c>
      <c r="P31" s="74"/>
      <c r="Q31" s="38">
        <f>SUM(Q7:Q30)</f>
        <v>220446000</v>
      </c>
      <c r="S31" s="93"/>
      <c r="T31" s="93"/>
      <c r="U31" s="93"/>
      <c r="V31" s="38">
        <f>SUM(V7:V30)</f>
        <v>0</v>
      </c>
    </row>
    <row r="32" spans="8:22">
      <c r="H32" s="39"/>
      <c r="M32" s="55"/>
      <c r="Q32" s="176"/>
      <c r="V32" s="74">
        <f>M31-V31</f>
        <v>5014000</v>
      </c>
    </row>
    <row r="33" spans="6:15">
      <c r="F33" s="129"/>
      <c r="H33" s="87"/>
      <c r="I33" s="94"/>
      <c r="J33" s="129"/>
      <c r="M33" s="56"/>
      <c r="O33" s="74"/>
    </row>
    <row r="34" spans="5:15">
      <c r="E34" s="129"/>
      <c r="F34" s="129"/>
      <c r="G34" s="129"/>
      <c r="H34" s="129"/>
      <c r="I34" s="94"/>
      <c r="J34" s="129"/>
      <c r="O34" s="87"/>
    </row>
    <row r="35" spans="6:17">
      <c r="F35" s="129"/>
      <c r="G35" s="129"/>
      <c r="H35" s="57"/>
      <c r="I35" s="94"/>
      <c r="J35" s="129"/>
      <c r="L35" s="129"/>
      <c r="Q35" s="74"/>
    </row>
    <row r="36" spans="7:13">
      <c r="G36" s="74"/>
      <c r="H36" s="164"/>
      <c r="I36" s="94"/>
      <c r="J36" s="168"/>
      <c r="M36" s="39"/>
    </row>
    <row r="37" spans="7:13">
      <c r="G37" s="129"/>
      <c r="H37" s="164"/>
      <c r="I37" s="94"/>
      <c r="J37" s="168"/>
      <c r="M37" s="74"/>
    </row>
    <row r="38" spans="7:13">
      <c r="G38" s="129"/>
      <c r="H38" s="164"/>
      <c r="I38" s="94"/>
      <c r="J38" s="168"/>
      <c r="M38" s="74"/>
    </row>
    <row r="39" spans="8:9">
      <c r="H39" s="164"/>
      <c r="I39" s="94"/>
    </row>
    <row r="40" spans="8:12">
      <c r="H40" s="164"/>
      <c r="I40" s="94"/>
      <c r="L40" s="55"/>
    </row>
    <row r="41" spans="7:12">
      <c r="G41" s="55"/>
      <c r="H41" s="57"/>
      <c r="I41" s="94"/>
      <c r="J41" s="168"/>
      <c r="L41" s="55"/>
    </row>
    <row r="42" spans="8:15">
      <c r="H42" s="57"/>
      <c r="I42" s="94"/>
      <c r="J42" s="168"/>
      <c r="L42" s="55"/>
      <c r="M42" s="169"/>
      <c r="O42" s="39"/>
    </row>
    <row r="43" spans="8:12">
      <c r="H43" s="57"/>
      <c r="I43" s="94"/>
      <c r="L43" s="55"/>
    </row>
    <row r="44" spans="8:12">
      <c r="H44" s="57"/>
      <c r="I44" s="94"/>
      <c r="J44" s="168"/>
      <c r="L44" s="169"/>
    </row>
    <row r="45" spans="8:12">
      <c r="H45" s="57"/>
      <c r="I45" s="94"/>
      <c r="L45" s="55"/>
    </row>
    <row r="46" spans="8:12">
      <c r="H46" s="57"/>
      <c r="I46" s="94"/>
      <c r="L46" s="169"/>
    </row>
    <row r="47" spans="8:9">
      <c r="H47" s="57"/>
      <c r="I47" s="94"/>
    </row>
    <row r="48" spans="8:9">
      <c r="H48" s="57"/>
      <c r="I48" s="94"/>
    </row>
    <row r="49" spans="8:15">
      <c r="H49" s="57"/>
      <c r="I49" s="94"/>
      <c r="L49" s="39"/>
      <c r="O49" s="39"/>
    </row>
    <row r="50" spans="8:12">
      <c r="H50" s="57"/>
      <c r="I50" s="94"/>
      <c r="L50" s="39"/>
    </row>
    <row r="51" spans="8:12">
      <c r="H51" s="57"/>
      <c r="I51" s="94"/>
      <c r="L51" s="74"/>
    </row>
    <row r="52" spans="8:12">
      <c r="H52" s="57"/>
      <c r="I52" s="94"/>
      <c r="L52" s="129"/>
    </row>
    <row r="53" spans="8:12">
      <c r="H53" s="57"/>
      <c r="I53" s="94"/>
      <c r="L53" s="129"/>
    </row>
    <row r="54" spans="8:12">
      <c r="H54" s="57"/>
      <c r="I54" s="94"/>
      <c r="L54" s="129"/>
    </row>
    <row r="55" spans="8:12">
      <c r="H55" s="57"/>
      <c r="I55" s="94"/>
      <c r="L55" s="39"/>
    </row>
    <row r="56" spans="8:12">
      <c r="H56" s="57"/>
      <c r="I56" s="94"/>
      <c r="L56" s="74"/>
    </row>
    <row r="57" spans="8:12">
      <c r="H57" s="57"/>
      <c r="I57" s="94"/>
      <c r="L57" s="39"/>
    </row>
    <row r="58" spans="8:12">
      <c r="H58" s="57"/>
      <c r="I58" s="94"/>
      <c r="L58" s="39"/>
    </row>
    <row r="59" spans="8:12">
      <c r="H59" s="57"/>
      <c r="I59" s="94"/>
      <c r="L59" s="39"/>
    </row>
    <row r="60" spans="8:12">
      <c r="H60" s="57"/>
      <c r="I60" s="94"/>
      <c r="L60" s="74"/>
    </row>
    <row r="61" spans="8:12">
      <c r="H61" s="57"/>
      <c r="I61" s="94"/>
      <c r="L61" s="74"/>
    </row>
    <row r="62" spans="8:9">
      <c r="H62" s="57"/>
      <c r="I62" s="94"/>
    </row>
    <row r="63" spans="8:12">
      <c r="H63" s="57"/>
      <c r="I63" s="94"/>
      <c r="L63" s="74"/>
    </row>
    <row r="64" spans="8:9">
      <c r="H64" s="57"/>
      <c r="I64" s="94"/>
    </row>
    <row r="65" spans="9:9">
      <c r="I65" s="94"/>
    </row>
    <row r="66" spans="9:10">
      <c r="I66" s="96"/>
      <c r="J66" s="57"/>
    </row>
    <row r="67" spans="8:9">
      <c r="H67" s="57"/>
      <c r="I67" s="57"/>
    </row>
  </sheetData>
  <autoFilter xmlns:etc="http://www.wps.cn/officeDocument/2017/etCustomData" ref="A5:J31" etc:filterBottomFollowUsedRange="0">
    <extLst/>
  </autoFilter>
  <mergeCells count="9">
    <mergeCell ref="D5:J5"/>
    <mergeCell ref="A5:A6"/>
    <mergeCell ref="B5:B6"/>
    <mergeCell ref="C5:C6"/>
    <mergeCell ref="L5:L6"/>
    <mergeCell ref="M5:M6"/>
    <mergeCell ref="N5:N6"/>
    <mergeCell ref="O5:O6"/>
    <mergeCell ref="Q5:Q6"/>
  </mergeCells>
  <pageMargins left="0.7" right="0.7" top="0.75" bottom="0.75" header="0.3" footer="0.3"/>
  <pageSetup paperSize="1" orientation="portrait" horizontalDpi="360" verticalDpi="360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0"/>
  <sheetViews>
    <sheetView workbookViewId="0">
      <pane ySplit="5" topLeftCell="A6" activePane="bottomLeft" state="frozen"/>
      <selection/>
      <selection pane="bottomLeft" activeCell="N27" sqref="N27"/>
    </sheetView>
  </sheetViews>
  <sheetFormatPr defaultColWidth="9" defaultRowHeight="16.8"/>
  <cols>
    <col min="1" max="1" width="12.2890625" customWidth="1"/>
    <col min="2" max="2" width="18.7109375" customWidth="1"/>
    <col min="3" max="3" width="36.5703125" customWidth="1"/>
    <col min="4" max="4" width="15.4296875" customWidth="1"/>
    <col min="5" max="6" width="15.2890625" customWidth="1"/>
    <col min="7" max="7" width="14.140625" customWidth="1"/>
    <col min="8" max="8" width="16.859375" customWidth="1"/>
    <col min="9" max="9" width="15.2890625" customWidth="1"/>
    <col min="10" max="10" width="14.859375" customWidth="1"/>
    <col min="11" max="11" width="5.7109375" customWidth="1"/>
    <col min="12" max="12" width="14" customWidth="1"/>
    <col min="13" max="13" width="14.4296875" customWidth="1"/>
    <col min="14" max="14" width="13.859375" customWidth="1"/>
    <col min="15" max="15" width="4.7109375" customWidth="1"/>
    <col min="16" max="16" width="14.2890625" customWidth="1"/>
    <col min="17" max="17" width="12.5703125" customWidth="1"/>
    <col min="18" max="18" width="25.859375" customWidth="1"/>
    <col min="19" max="19" width="11" customWidth="1"/>
    <col min="21" max="21" width="10" customWidth="1"/>
  </cols>
  <sheetData>
    <row r="1" ht="17.6" spans="1:7">
      <c r="A1" s="2" t="s">
        <v>304</v>
      </c>
      <c r="B1" s="2"/>
      <c r="C1" s="1"/>
      <c r="D1" s="3"/>
      <c r="E1" s="25"/>
      <c r="F1" s="26"/>
      <c r="G1" s="27"/>
    </row>
    <row r="2" spans="1:7">
      <c r="A2" s="1"/>
      <c r="B2" s="1"/>
      <c r="C2" s="1"/>
      <c r="D2" s="3"/>
      <c r="E2" s="25"/>
      <c r="F2" s="1"/>
      <c r="G2" s="27"/>
    </row>
    <row r="3" spans="1:12">
      <c r="A3" s="4" t="s">
        <v>28</v>
      </c>
      <c r="B3" s="1"/>
      <c r="C3" s="1"/>
      <c r="D3" s="3"/>
      <c r="E3" s="25"/>
      <c r="F3" s="1"/>
      <c r="G3" s="27"/>
      <c r="L3" s="74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L4" s="41" t="s">
        <v>32</v>
      </c>
      <c r="M4" s="41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L5" s="41"/>
      <c r="M5" s="41"/>
      <c r="N5" s="41"/>
      <c r="P5" s="41"/>
    </row>
    <row r="6" s="1" customFormat="1" ht="17.6" spans="1:21">
      <c r="A6" s="11">
        <v>45936</v>
      </c>
      <c r="B6" s="11" t="s">
        <v>305</v>
      </c>
      <c r="C6" s="12" t="s">
        <v>306</v>
      </c>
      <c r="D6" s="117"/>
      <c r="E6" s="124"/>
      <c r="F6" s="117">
        <v>12187500</v>
      </c>
      <c r="G6" s="124"/>
      <c r="H6" s="125">
        <f>SUM(D6:G6)</f>
        <v>12187500</v>
      </c>
      <c r="I6" s="117">
        <f>H6*0.11</f>
        <v>1340625</v>
      </c>
      <c r="J6" s="132">
        <f>SUM(H6:I6)</f>
        <v>13528125</v>
      </c>
      <c r="K6" s="89"/>
      <c r="L6" s="133">
        <v>45988</v>
      </c>
      <c r="M6" s="97"/>
      <c r="N6" s="98">
        <f>J6-M6</f>
        <v>13528125</v>
      </c>
      <c r="P6" s="140">
        <f>J6-M6-N6</f>
        <v>0</v>
      </c>
      <c r="R6" s="151"/>
      <c r="S6" s="151"/>
      <c r="T6" s="151"/>
      <c r="U6" s="151"/>
    </row>
    <row r="7" s="1" customFormat="1" ht="17.6" spans="1:21">
      <c r="A7" s="14">
        <v>45936</v>
      </c>
      <c r="B7" s="14" t="s">
        <v>307</v>
      </c>
      <c r="C7" s="15" t="s">
        <v>42</v>
      </c>
      <c r="D7" s="118"/>
      <c r="E7" s="65"/>
      <c r="F7" s="118">
        <v>1350000</v>
      </c>
      <c r="G7" s="65"/>
      <c r="H7" s="126">
        <f>SUM(D7:G7)</f>
        <v>1350000</v>
      </c>
      <c r="I7" s="118">
        <f>H7*0.11</f>
        <v>148500</v>
      </c>
      <c r="J7" s="134">
        <f t="shared" ref="J7:J30" si="0">SUM(H7:I7)</f>
        <v>1498500</v>
      </c>
      <c r="K7" s="89"/>
      <c r="L7" s="50">
        <v>45975</v>
      </c>
      <c r="M7" s="127"/>
      <c r="N7" s="101">
        <f t="shared" ref="N7:N18" si="1">J7-M7</f>
        <v>1498500</v>
      </c>
      <c r="P7" s="65">
        <f>J7-M7-N7</f>
        <v>0</v>
      </c>
      <c r="R7" s="112"/>
      <c r="S7" s="112"/>
      <c r="T7" s="112"/>
      <c r="U7" s="112"/>
    </row>
    <row r="8" s="1" customFormat="1" ht="17.6" spans="1:21">
      <c r="A8" s="14">
        <v>45936</v>
      </c>
      <c r="B8" s="14" t="s">
        <v>308</v>
      </c>
      <c r="C8" s="15" t="s">
        <v>42</v>
      </c>
      <c r="D8" s="118"/>
      <c r="E8" s="65"/>
      <c r="F8" s="118">
        <v>1950000</v>
      </c>
      <c r="G8" s="65"/>
      <c r="H8" s="126">
        <f>SUM(D8:G8)</f>
        <v>1950000</v>
      </c>
      <c r="I8" s="118">
        <f>H8*0.11</f>
        <v>214500</v>
      </c>
      <c r="J8" s="134">
        <f t="shared" si="0"/>
        <v>2164500</v>
      </c>
      <c r="K8" s="89"/>
      <c r="L8" s="135">
        <v>45975</v>
      </c>
      <c r="M8" s="141"/>
      <c r="N8" s="101">
        <f t="shared" si="1"/>
        <v>2164500</v>
      </c>
      <c r="P8" s="65">
        <f t="shared" ref="P8:P30" si="2">J8-M8-N8</f>
        <v>0</v>
      </c>
      <c r="R8" s="112"/>
      <c r="S8" s="112"/>
      <c r="T8" s="112"/>
      <c r="U8" s="112"/>
    </row>
    <row r="9" s="1" customFormat="1" ht="17.6" spans="1:21">
      <c r="A9" s="14">
        <v>45936</v>
      </c>
      <c r="B9" s="14" t="s">
        <v>309</v>
      </c>
      <c r="C9" s="15" t="s">
        <v>42</v>
      </c>
      <c r="D9" s="118"/>
      <c r="E9" s="65"/>
      <c r="F9" s="118">
        <v>554500000</v>
      </c>
      <c r="G9" s="65"/>
      <c r="H9" s="126">
        <f>SUM(D9:G9)</f>
        <v>554500000</v>
      </c>
      <c r="I9" s="118">
        <f>H9*0.11</f>
        <v>60995000</v>
      </c>
      <c r="J9" s="134">
        <f t="shared" si="0"/>
        <v>615495000</v>
      </c>
      <c r="K9" s="89"/>
      <c r="L9" s="91">
        <v>45975</v>
      </c>
      <c r="M9" s="142">
        <v>1000</v>
      </c>
      <c r="N9" s="101">
        <f t="shared" si="1"/>
        <v>615494000</v>
      </c>
      <c r="P9" s="65">
        <f t="shared" si="2"/>
        <v>0</v>
      </c>
      <c r="R9" s="15"/>
      <c r="S9" s="15"/>
      <c r="T9" s="152"/>
      <c r="U9" s="153">
        <f>M9</f>
        <v>1000</v>
      </c>
    </row>
    <row r="10" s="1" customFormat="1" ht="17.6" spans="1:21">
      <c r="A10" s="14">
        <v>45936</v>
      </c>
      <c r="B10" s="14" t="s">
        <v>310</v>
      </c>
      <c r="C10" s="15" t="s">
        <v>52</v>
      </c>
      <c r="D10" s="118"/>
      <c r="E10" s="65"/>
      <c r="F10" s="118">
        <v>29687500</v>
      </c>
      <c r="G10" s="65"/>
      <c r="H10" s="126">
        <f>SUM(D10:G10)</f>
        <v>29687500</v>
      </c>
      <c r="I10" s="118">
        <f>H10*0.11</f>
        <v>3265625</v>
      </c>
      <c r="J10" s="134">
        <f t="shared" si="0"/>
        <v>32953125</v>
      </c>
      <c r="K10" s="89"/>
      <c r="L10" s="91">
        <v>45975</v>
      </c>
      <c r="M10" s="143"/>
      <c r="N10" s="101">
        <f t="shared" si="1"/>
        <v>32953125</v>
      </c>
      <c r="P10" s="65">
        <f t="shared" si="2"/>
        <v>0</v>
      </c>
      <c r="R10" s="112"/>
      <c r="S10" s="112"/>
      <c r="T10" s="112"/>
      <c r="U10" s="112"/>
    </row>
    <row r="11" s="1" customFormat="1" ht="17.6" spans="1:21">
      <c r="A11" s="14">
        <v>45936</v>
      </c>
      <c r="B11" s="14" t="s">
        <v>311</v>
      </c>
      <c r="C11" s="15" t="s">
        <v>222</v>
      </c>
      <c r="D11" s="118"/>
      <c r="E11" s="65"/>
      <c r="F11" s="118">
        <v>8287500</v>
      </c>
      <c r="G11" s="65"/>
      <c r="H11" s="126">
        <f t="shared" ref="H11:H29" si="3">SUM(D11:G11)</f>
        <v>8287500</v>
      </c>
      <c r="I11" s="118">
        <f t="shared" ref="I11:I25" si="4">H11*0.11</f>
        <v>911625</v>
      </c>
      <c r="J11" s="134">
        <f t="shared" si="0"/>
        <v>9199125</v>
      </c>
      <c r="K11" s="89"/>
      <c r="L11" s="91">
        <v>45967</v>
      </c>
      <c r="M11" s="66"/>
      <c r="N11" s="101">
        <f t="shared" si="1"/>
        <v>9199125</v>
      </c>
      <c r="P11" s="65">
        <f t="shared" si="2"/>
        <v>0</v>
      </c>
      <c r="R11" s="112"/>
      <c r="S11" s="112"/>
      <c r="T11" s="112"/>
      <c r="U11" s="112"/>
    </row>
    <row r="12" s="1" customFormat="1" ht="17.6" spans="1:21">
      <c r="A12" s="119">
        <v>45937</v>
      </c>
      <c r="B12" s="119" t="s">
        <v>312</v>
      </c>
      <c r="C12" s="120" t="s">
        <v>248</v>
      </c>
      <c r="D12" s="121"/>
      <c r="E12" s="121">
        <v>4760000</v>
      </c>
      <c r="F12" s="106"/>
      <c r="G12" s="106"/>
      <c r="H12" s="126">
        <f t="shared" si="3"/>
        <v>4760000</v>
      </c>
      <c r="I12" s="118">
        <f t="shared" si="4"/>
        <v>523600</v>
      </c>
      <c r="J12" s="121">
        <f t="shared" si="0"/>
        <v>5283600</v>
      </c>
      <c r="K12" s="89"/>
      <c r="L12" s="49">
        <v>45945</v>
      </c>
      <c r="M12" s="102"/>
      <c r="N12" s="101">
        <f t="shared" si="1"/>
        <v>5283600</v>
      </c>
      <c r="P12" s="65">
        <f t="shared" si="2"/>
        <v>0</v>
      </c>
      <c r="Q12" s="73"/>
      <c r="R12" s="112"/>
      <c r="S12" s="112"/>
      <c r="T12" s="112"/>
      <c r="U12" s="112"/>
    </row>
    <row r="13" s="1" customFormat="1" ht="17.6" spans="1:21">
      <c r="A13" s="14">
        <v>45943</v>
      </c>
      <c r="B13" s="14" t="s">
        <v>313</v>
      </c>
      <c r="C13" s="15" t="s">
        <v>42</v>
      </c>
      <c r="D13" s="100"/>
      <c r="E13" s="127"/>
      <c r="F13" s="65">
        <v>30000000</v>
      </c>
      <c r="G13" s="65"/>
      <c r="H13" s="126">
        <f t="shared" si="3"/>
        <v>30000000</v>
      </c>
      <c r="I13" s="118">
        <f t="shared" si="4"/>
        <v>3300000</v>
      </c>
      <c r="J13" s="121">
        <f t="shared" si="0"/>
        <v>33300000</v>
      </c>
      <c r="K13" s="89"/>
      <c r="L13" s="49">
        <v>45975</v>
      </c>
      <c r="M13" s="102"/>
      <c r="N13" s="101">
        <f t="shared" si="1"/>
        <v>33300000</v>
      </c>
      <c r="P13" s="65">
        <f t="shared" si="2"/>
        <v>0</v>
      </c>
      <c r="Q13" s="73"/>
      <c r="R13" s="112"/>
      <c r="S13" s="112"/>
      <c r="T13" s="112"/>
      <c r="U13" s="112"/>
    </row>
    <row r="14" s="1" customFormat="1" ht="17.6" spans="1:21">
      <c r="A14" s="14">
        <v>45943</v>
      </c>
      <c r="B14" s="14" t="s">
        <v>314</v>
      </c>
      <c r="C14" s="15" t="s">
        <v>57</v>
      </c>
      <c r="D14" s="122"/>
      <c r="E14" s="127">
        <v>9500000</v>
      </c>
      <c r="F14" s="122"/>
      <c r="G14" s="65"/>
      <c r="H14" s="126">
        <f t="shared" si="3"/>
        <v>9500000</v>
      </c>
      <c r="I14" s="118">
        <f t="shared" si="4"/>
        <v>1045000</v>
      </c>
      <c r="J14" s="34">
        <f t="shared" si="0"/>
        <v>10545000</v>
      </c>
      <c r="K14" s="89"/>
      <c r="L14" s="49">
        <v>45989</v>
      </c>
      <c r="M14" s="144"/>
      <c r="N14" s="101">
        <f t="shared" si="1"/>
        <v>10545000</v>
      </c>
      <c r="P14" s="65">
        <f t="shared" si="2"/>
        <v>0</v>
      </c>
      <c r="Q14" s="73"/>
      <c r="R14" s="112"/>
      <c r="S14" s="112"/>
      <c r="T14" s="112"/>
      <c r="U14" s="112"/>
    </row>
    <row r="15" s="1" customFormat="1" ht="17.6" spans="1:21">
      <c r="A15" s="14">
        <v>45945</v>
      </c>
      <c r="B15" s="14" t="s">
        <v>315</v>
      </c>
      <c r="C15" s="15" t="s">
        <v>316</v>
      </c>
      <c r="D15" s="122">
        <v>600000</v>
      </c>
      <c r="E15" s="127">
        <v>49000000</v>
      </c>
      <c r="F15" s="122"/>
      <c r="G15" s="65"/>
      <c r="H15" s="126">
        <f t="shared" si="3"/>
        <v>49600000</v>
      </c>
      <c r="I15" s="118">
        <f t="shared" si="4"/>
        <v>5456000</v>
      </c>
      <c r="J15" s="34">
        <f t="shared" si="0"/>
        <v>55056000</v>
      </c>
      <c r="K15" s="89"/>
      <c r="L15" s="49">
        <v>45975</v>
      </c>
      <c r="M15" s="102">
        <v>12000</v>
      </c>
      <c r="N15" s="101">
        <f t="shared" si="1"/>
        <v>55044000</v>
      </c>
      <c r="P15" s="65">
        <f t="shared" si="2"/>
        <v>0</v>
      </c>
      <c r="Q15" s="73"/>
      <c r="R15" s="112"/>
      <c r="S15" s="112"/>
      <c r="T15" s="112"/>
      <c r="U15" s="112"/>
    </row>
    <row r="16" s="1" customFormat="1" ht="17.6" spans="1:21">
      <c r="A16" s="14">
        <v>45960</v>
      </c>
      <c r="B16" s="14" t="s">
        <v>317</v>
      </c>
      <c r="C16" s="15" t="s">
        <v>318</v>
      </c>
      <c r="D16" s="122"/>
      <c r="E16" s="127">
        <v>37387150</v>
      </c>
      <c r="F16" s="122"/>
      <c r="G16" s="65"/>
      <c r="H16" s="126">
        <f t="shared" si="3"/>
        <v>37387150</v>
      </c>
      <c r="I16" s="118">
        <f t="shared" si="4"/>
        <v>4112586.5</v>
      </c>
      <c r="J16" s="34">
        <f t="shared" si="0"/>
        <v>41499736.5</v>
      </c>
      <c r="K16" s="89"/>
      <c r="L16" s="49">
        <v>45984</v>
      </c>
      <c r="M16" s="100"/>
      <c r="N16" s="101">
        <f t="shared" si="1"/>
        <v>41499736.5</v>
      </c>
      <c r="P16" s="65">
        <f t="shared" si="2"/>
        <v>0</v>
      </c>
      <c r="Q16" s="73"/>
      <c r="R16" s="112"/>
      <c r="S16" s="112"/>
      <c r="T16" s="112"/>
      <c r="U16" s="112"/>
    </row>
    <row r="17" s="1" customFormat="1" ht="17.6" spans="1:21">
      <c r="A17" s="14">
        <v>45961</v>
      </c>
      <c r="B17" s="14" t="s">
        <v>319</v>
      </c>
      <c r="C17" s="15" t="s">
        <v>42</v>
      </c>
      <c r="D17" s="122"/>
      <c r="E17" s="127"/>
      <c r="F17" s="122">
        <v>25300000</v>
      </c>
      <c r="G17" s="65"/>
      <c r="H17" s="126">
        <f t="shared" si="3"/>
        <v>25300000</v>
      </c>
      <c r="I17" s="118">
        <f t="shared" si="4"/>
        <v>2783000</v>
      </c>
      <c r="J17" s="134">
        <f t="shared" si="0"/>
        <v>28083000</v>
      </c>
      <c r="K17" s="89"/>
      <c r="L17" s="50">
        <v>45989</v>
      </c>
      <c r="M17" s="145">
        <v>1000</v>
      </c>
      <c r="N17" s="101">
        <f t="shared" si="1"/>
        <v>28082000</v>
      </c>
      <c r="P17" s="65">
        <f t="shared" si="2"/>
        <v>0</v>
      </c>
      <c r="Q17" s="25"/>
      <c r="R17" s="112"/>
      <c r="S17" s="112"/>
      <c r="T17" s="112"/>
      <c r="U17" s="112"/>
    </row>
    <row r="18" s="1" customFormat="1" ht="17.6" spans="1:21">
      <c r="A18" s="14">
        <v>45945</v>
      </c>
      <c r="B18" s="14" t="s">
        <v>320</v>
      </c>
      <c r="C18" s="15" t="s">
        <v>42</v>
      </c>
      <c r="D18" s="123">
        <v>148000000</v>
      </c>
      <c r="E18" s="126"/>
      <c r="F18" s="123"/>
      <c r="G18" s="126"/>
      <c r="H18" s="126">
        <f t="shared" si="3"/>
        <v>148000000</v>
      </c>
      <c r="I18" s="118">
        <f t="shared" si="4"/>
        <v>16280000</v>
      </c>
      <c r="J18" s="136">
        <f t="shared" si="0"/>
        <v>164280000</v>
      </c>
      <c r="K18" s="137"/>
      <c r="L18" s="138">
        <v>45975</v>
      </c>
      <c r="M18" s="146">
        <f>D18*0.02</f>
        <v>2960000</v>
      </c>
      <c r="N18" s="101">
        <f t="shared" si="1"/>
        <v>161320000</v>
      </c>
      <c r="O18" s="147"/>
      <c r="P18" s="65">
        <f t="shared" si="2"/>
        <v>0</v>
      </c>
      <c r="Q18" s="73"/>
      <c r="R18" s="112"/>
      <c r="S18" s="112"/>
      <c r="T18" s="112"/>
      <c r="U18" s="112"/>
    </row>
    <row r="19" s="1" customFormat="1" ht="17.6" spans="1:21">
      <c r="A19" s="14">
        <v>45946</v>
      </c>
      <c r="B19" s="14" t="s">
        <v>321</v>
      </c>
      <c r="C19" s="15" t="s">
        <v>98</v>
      </c>
      <c r="D19" s="122"/>
      <c r="E19" s="127">
        <v>42112000</v>
      </c>
      <c r="F19" s="122"/>
      <c r="G19" s="65"/>
      <c r="H19" s="126">
        <f t="shared" si="3"/>
        <v>42112000</v>
      </c>
      <c r="I19" s="118">
        <f t="shared" si="4"/>
        <v>4632320</v>
      </c>
      <c r="J19" s="134">
        <f t="shared" si="0"/>
        <v>46744320</v>
      </c>
      <c r="K19" s="89"/>
      <c r="L19" s="91"/>
      <c r="M19" s="102"/>
      <c r="N19" s="101">
        <v>0</v>
      </c>
      <c r="P19" s="65">
        <f t="shared" si="2"/>
        <v>46744320</v>
      </c>
      <c r="Q19" s="25"/>
      <c r="R19" s="112"/>
      <c r="S19" s="112"/>
      <c r="T19" s="112"/>
      <c r="U19" s="112"/>
    </row>
    <row r="20" s="1" customFormat="1" ht="17.6" spans="1:21">
      <c r="A20" s="14">
        <v>45946</v>
      </c>
      <c r="B20" s="14" t="s">
        <v>322</v>
      </c>
      <c r="C20" s="15" t="s">
        <v>98</v>
      </c>
      <c r="D20" s="122"/>
      <c r="E20" s="127">
        <v>91800000</v>
      </c>
      <c r="F20" s="122"/>
      <c r="G20" s="65"/>
      <c r="H20" s="126">
        <f t="shared" si="3"/>
        <v>91800000</v>
      </c>
      <c r="I20" s="118">
        <f t="shared" si="4"/>
        <v>10098000</v>
      </c>
      <c r="J20" s="134">
        <f t="shared" si="0"/>
        <v>101898000</v>
      </c>
      <c r="K20" s="89"/>
      <c r="L20" s="91"/>
      <c r="M20" s="148"/>
      <c r="N20" s="101">
        <v>0</v>
      </c>
      <c r="P20" s="65">
        <f t="shared" si="2"/>
        <v>101898000</v>
      </c>
      <c r="Q20" s="73"/>
      <c r="R20" s="112"/>
      <c r="S20" s="112"/>
      <c r="T20" s="112"/>
      <c r="U20" s="112"/>
    </row>
    <row r="21" s="1" customFormat="1" ht="17.6" spans="1:21">
      <c r="A21" s="14">
        <v>45951</v>
      </c>
      <c r="B21" s="14" t="s">
        <v>323</v>
      </c>
      <c r="C21" s="15" t="s">
        <v>98</v>
      </c>
      <c r="D21" s="118"/>
      <c r="E21" s="65"/>
      <c r="F21" s="118">
        <v>7800000</v>
      </c>
      <c r="G21" s="65"/>
      <c r="H21" s="126">
        <f t="shared" si="3"/>
        <v>7800000</v>
      </c>
      <c r="I21" s="118">
        <f t="shared" si="4"/>
        <v>858000</v>
      </c>
      <c r="J21" s="134">
        <f t="shared" si="0"/>
        <v>8658000</v>
      </c>
      <c r="K21" s="89"/>
      <c r="L21" s="91"/>
      <c r="M21" s="149"/>
      <c r="N21" s="101">
        <v>0</v>
      </c>
      <c r="P21" s="65">
        <f t="shared" si="2"/>
        <v>8658000</v>
      </c>
      <c r="R21" s="112"/>
      <c r="S21" s="112"/>
      <c r="T21" s="112"/>
      <c r="U21" s="112"/>
    </row>
    <row r="22" s="1" customFormat="1" ht="17.6" spans="1:21">
      <c r="A22" s="14">
        <v>45951</v>
      </c>
      <c r="B22" s="14" t="s">
        <v>324</v>
      </c>
      <c r="C22" s="15" t="s">
        <v>325</v>
      </c>
      <c r="D22" s="118"/>
      <c r="E22" s="65"/>
      <c r="F22" s="118">
        <v>78500000</v>
      </c>
      <c r="G22" s="65"/>
      <c r="H22" s="126">
        <f t="shared" si="3"/>
        <v>78500000</v>
      </c>
      <c r="I22" s="118">
        <f t="shared" si="4"/>
        <v>8635000</v>
      </c>
      <c r="J22" s="134">
        <f t="shared" si="0"/>
        <v>87135000</v>
      </c>
      <c r="K22" s="89"/>
      <c r="L22" s="91"/>
      <c r="M22" s="148"/>
      <c r="N22" s="101">
        <v>0</v>
      </c>
      <c r="P22" s="65">
        <f t="shared" si="2"/>
        <v>87135000</v>
      </c>
      <c r="R22" s="15"/>
      <c r="S22" s="15"/>
      <c r="T22" s="152"/>
      <c r="U22" s="153">
        <f>M22</f>
        <v>0</v>
      </c>
    </row>
    <row r="23" s="1" customFormat="1" ht="17.6" spans="1:21">
      <c r="A23" s="14">
        <v>45953</v>
      </c>
      <c r="B23" s="14" t="s">
        <v>326</v>
      </c>
      <c r="C23" s="15" t="s">
        <v>248</v>
      </c>
      <c r="D23" s="118"/>
      <c r="E23" s="65">
        <v>19040000</v>
      </c>
      <c r="F23" s="118"/>
      <c r="G23" s="65"/>
      <c r="H23" s="126">
        <f t="shared" si="3"/>
        <v>19040000</v>
      </c>
      <c r="I23" s="118">
        <f t="shared" si="4"/>
        <v>2094400</v>
      </c>
      <c r="J23" s="134">
        <f t="shared" si="0"/>
        <v>21134400</v>
      </c>
      <c r="K23" s="89"/>
      <c r="L23" s="49"/>
      <c r="M23" s="150"/>
      <c r="N23" s="101">
        <v>0</v>
      </c>
      <c r="P23" s="65">
        <f t="shared" si="2"/>
        <v>21134400</v>
      </c>
      <c r="R23" s="112"/>
      <c r="S23" s="112"/>
      <c r="T23" s="112"/>
      <c r="U23" s="112"/>
    </row>
    <row r="24" s="1" customFormat="1" ht="17.6" spans="1:21">
      <c r="A24" s="14">
        <v>45953</v>
      </c>
      <c r="B24" s="14" t="s">
        <v>327</v>
      </c>
      <c r="C24" s="15" t="s">
        <v>42</v>
      </c>
      <c r="D24" s="118"/>
      <c r="E24" s="65"/>
      <c r="F24" s="118">
        <v>12162500</v>
      </c>
      <c r="G24" s="65"/>
      <c r="H24" s="126">
        <f t="shared" si="3"/>
        <v>12162500</v>
      </c>
      <c r="I24" s="118">
        <f t="shared" si="4"/>
        <v>1337875</v>
      </c>
      <c r="J24" s="134">
        <f t="shared" si="0"/>
        <v>13500375</v>
      </c>
      <c r="K24" s="89"/>
      <c r="L24" s="91">
        <v>45989</v>
      </c>
      <c r="M24" s="102"/>
      <c r="N24" s="101">
        <f>J24-M24</f>
        <v>13500375</v>
      </c>
      <c r="P24" s="65">
        <f t="shared" si="2"/>
        <v>0</v>
      </c>
      <c r="R24" s="112"/>
      <c r="S24" s="112"/>
      <c r="T24" s="112"/>
      <c r="U24" s="112"/>
    </row>
    <row r="25" s="1" customFormat="1" ht="17.6" spans="1:21">
      <c r="A25" s="14">
        <v>45953</v>
      </c>
      <c r="B25" s="14" t="s">
        <v>328</v>
      </c>
      <c r="C25" s="15" t="s">
        <v>42</v>
      </c>
      <c r="D25" s="118">
        <v>37450000</v>
      </c>
      <c r="E25" s="65"/>
      <c r="F25" s="118"/>
      <c r="G25" s="65"/>
      <c r="H25" s="126">
        <f t="shared" si="3"/>
        <v>37450000</v>
      </c>
      <c r="I25" s="118">
        <f t="shared" si="4"/>
        <v>4119500</v>
      </c>
      <c r="J25" s="134">
        <f t="shared" ref="J25:J29" si="5">SUM(H25:I25)</f>
        <v>41569500</v>
      </c>
      <c r="K25" s="89"/>
      <c r="L25" s="91">
        <v>45989</v>
      </c>
      <c r="M25" s="102">
        <f>D25*0.02</f>
        <v>749000</v>
      </c>
      <c r="N25" s="101">
        <f>J25-M25</f>
        <v>40820500</v>
      </c>
      <c r="P25" s="65">
        <f t="shared" si="2"/>
        <v>0</v>
      </c>
      <c r="R25" s="112"/>
      <c r="S25" s="112"/>
      <c r="T25" s="112"/>
      <c r="U25" s="112"/>
    </row>
    <row r="26" s="1" customFormat="1" ht="17.6" spans="1:21">
      <c r="A26" s="14">
        <v>45958</v>
      </c>
      <c r="B26" s="14" t="s">
        <v>329</v>
      </c>
      <c r="C26" s="15" t="s">
        <v>330</v>
      </c>
      <c r="D26" s="118">
        <f>712400000*0.1</f>
        <v>71240000</v>
      </c>
      <c r="E26" s="65"/>
      <c r="F26" s="118">
        <f>787600000*0.1</f>
        <v>78760000</v>
      </c>
      <c r="G26" s="65"/>
      <c r="H26" s="126">
        <f t="shared" si="3"/>
        <v>150000000</v>
      </c>
      <c r="I26" s="118">
        <f t="shared" ref="I26:I29" si="6">H26*0.11</f>
        <v>16500000</v>
      </c>
      <c r="J26" s="134">
        <f t="shared" si="5"/>
        <v>166500000</v>
      </c>
      <c r="K26" s="89"/>
      <c r="L26" s="91">
        <v>46003</v>
      </c>
      <c r="M26" s="102"/>
      <c r="N26" s="101">
        <f>J26-M26</f>
        <v>166500000</v>
      </c>
      <c r="P26" s="65">
        <f t="shared" si="2"/>
        <v>0</v>
      </c>
      <c r="R26" s="112"/>
      <c r="S26" s="112"/>
      <c r="T26" s="112"/>
      <c r="U26" s="112"/>
    </row>
    <row r="27" s="1" customFormat="1" ht="17.6" spans="1:21">
      <c r="A27" s="14">
        <v>45957</v>
      </c>
      <c r="B27" s="14" t="s">
        <v>331</v>
      </c>
      <c r="C27" s="15" t="s">
        <v>332</v>
      </c>
      <c r="D27" s="118"/>
      <c r="E27" s="65"/>
      <c r="F27" s="118">
        <v>9200000</v>
      </c>
      <c r="G27" s="65"/>
      <c r="H27" s="126">
        <f t="shared" si="3"/>
        <v>9200000</v>
      </c>
      <c r="I27" s="118">
        <f t="shared" si="6"/>
        <v>1012000</v>
      </c>
      <c r="J27" s="134">
        <f t="shared" si="5"/>
        <v>10212000</v>
      </c>
      <c r="K27" s="89"/>
      <c r="L27" s="91">
        <v>45957</v>
      </c>
      <c r="M27" s="102"/>
      <c r="N27" s="101">
        <f>J27-M27</f>
        <v>10212000</v>
      </c>
      <c r="P27" s="65">
        <f t="shared" si="2"/>
        <v>0</v>
      </c>
      <c r="R27" s="112"/>
      <c r="S27" s="112"/>
      <c r="T27" s="112"/>
      <c r="U27" s="112"/>
    </row>
    <row r="28" s="1" customFormat="1" ht="17.6" spans="1:21">
      <c r="A28" s="14"/>
      <c r="B28" s="14"/>
      <c r="C28" s="15"/>
      <c r="D28" s="118"/>
      <c r="E28" s="65"/>
      <c r="F28" s="118"/>
      <c r="G28" s="65"/>
      <c r="H28" s="126">
        <f t="shared" si="3"/>
        <v>0</v>
      </c>
      <c r="I28" s="118">
        <f t="shared" si="6"/>
        <v>0</v>
      </c>
      <c r="J28" s="134">
        <f t="shared" si="5"/>
        <v>0</v>
      </c>
      <c r="K28" s="89"/>
      <c r="L28" s="91"/>
      <c r="M28" s="102"/>
      <c r="N28" s="101">
        <f>J28-M28</f>
        <v>0</v>
      </c>
      <c r="P28" s="65">
        <f t="shared" si="2"/>
        <v>0</v>
      </c>
      <c r="R28" s="112"/>
      <c r="S28" s="112"/>
      <c r="T28" s="112"/>
      <c r="U28" s="112"/>
    </row>
    <row r="29" s="1" customFormat="1" ht="17.6" spans="1:21">
      <c r="A29" s="14"/>
      <c r="B29" s="14"/>
      <c r="C29" s="15"/>
      <c r="D29" s="118"/>
      <c r="E29" s="65"/>
      <c r="F29" s="118"/>
      <c r="G29" s="65"/>
      <c r="H29" s="126">
        <f t="shared" si="3"/>
        <v>0</v>
      </c>
      <c r="I29" s="118">
        <f t="shared" si="6"/>
        <v>0</v>
      </c>
      <c r="J29" s="134">
        <f t="shared" si="5"/>
        <v>0</v>
      </c>
      <c r="K29" s="89"/>
      <c r="L29" s="91"/>
      <c r="M29" s="102"/>
      <c r="N29" s="101">
        <v>0</v>
      </c>
      <c r="P29" s="65">
        <f t="shared" si="2"/>
        <v>0</v>
      </c>
      <c r="R29" s="112"/>
      <c r="S29" s="112"/>
      <c r="T29" s="112"/>
      <c r="U29" s="112"/>
    </row>
    <row r="30" s="1" customFormat="1" ht="17.6" spans="1:21">
      <c r="A30" s="14"/>
      <c r="B30" s="14"/>
      <c r="C30" s="15"/>
      <c r="D30" s="118"/>
      <c r="E30" s="65"/>
      <c r="F30" s="118"/>
      <c r="G30" s="65"/>
      <c r="H30" s="126">
        <f t="shared" ref="H30" si="7">SUM(D30:G30)</f>
        <v>0</v>
      </c>
      <c r="I30" s="118">
        <f t="shared" ref="I30" si="8">H30*0.11</f>
        <v>0</v>
      </c>
      <c r="J30" s="134">
        <f t="shared" si="0"/>
        <v>0</v>
      </c>
      <c r="K30" s="89"/>
      <c r="L30" s="91"/>
      <c r="M30" s="150">
        <v>0</v>
      </c>
      <c r="N30" s="101">
        <v>0</v>
      </c>
      <c r="P30" s="65">
        <f t="shared" si="2"/>
        <v>0</v>
      </c>
      <c r="R30" s="15"/>
      <c r="S30" s="15"/>
      <c r="T30" s="152"/>
      <c r="U30" s="153"/>
    </row>
    <row r="31" ht="21.75" customHeight="1" spans="1:21">
      <c r="A31" s="22"/>
      <c r="B31" s="22"/>
      <c r="C31" s="23" t="s">
        <v>10</v>
      </c>
      <c r="D31" s="86">
        <f t="shared" ref="D31:J31" si="9">SUM(D6:D30)</f>
        <v>257290000</v>
      </c>
      <c r="E31" s="86">
        <f t="shared" si="9"/>
        <v>253599150</v>
      </c>
      <c r="F31" s="86">
        <f t="shared" si="9"/>
        <v>849685000</v>
      </c>
      <c r="G31" s="128">
        <f t="shared" si="9"/>
        <v>0</v>
      </c>
      <c r="H31" s="86">
        <f t="shared" si="9"/>
        <v>1360574150</v>
      </c>
      <c r="I31" s="86">
        <f t="shared" si="9"/>
        <v>149663156.5</v>
      </c>
      <c r="J31" s="86">
        <f t="shared" si="9"/>
        <v>1510237306.5</v>
      </c>
      <c r="L31" s="93"/>
      <c r="M31" s="38">
        <f>SUM(M6:M30)</f>
        <v>3723000</v>
      </c>
      <c r="N31" s="93">
        <f>SUM(N6:N30)</f>
        <v>1240944586.5</v>
      </c>
      <c r="P31" s="93">
        <f>SUM(P6:P30)</f>
        <v>265569720</v>
      </c>
      <c r="R31" s="93"/>
      <c r="S31" s="93"/>
      <c r="T31" s="93"/>
      <c r="U31" s="38">
        <f>SUM(U6:U30)</f>
        <v>1000</v>
      </c>
    </row>
    <row r="32" spans="8:21">
      <c r="H32" s="39"/>
      <c r="U32" s="74">
        <f>M31-U31</f>
        <v>3722000</v>
      </c>
    </row>
    <row r="33" spans="4:10">
      <c r="D33" s="74">
        <f>D25*0.02</f>
        <v>749000</v>
      </c>
      <c r="H33" s="87"/>
      <c r="J33" s="74">
        <f>J17+J24</f>
        <v>41583375</v>
      </c>
    </row>
    <row r="34" spans="4:10">
      <c r="D34" s="74">
        <f>D25-D33</f>
        <v>36701000</v>
      </c>
      <c r="G34" s="74"/>
      <c r="J34" s="74">
        <f>J33+D34</f>
        <v>78284375</v>
      </c>
    </row>
    <row r="35" spans="4:10">
      <c r="D35" s="74"/>
      <c r="G35" s="74"/>
      <c r="J35" s="74"/>
    </row>
    <row r="36" spans="7:12">
      <c r="G36" s="129"/>
      <c r="H36" s="39"/>
      <c r="I36" s="74"/>
      <c r="J36" s="74"/>
      <c r="L36" s="74"/>
    </row>
    <row r="37" spans="4:12">
      <c r="D37" s="74"/>
      <c r="G37" s="129"/>
      <c r="H37" s="130"/>
      <c r="J37" s="74"/>
      <c r="L37" s="74"/>
    </row>
    <row r="38" spans="4:12">
      <c r="D38" s="74"/>
      <c r="G38" s="94"/>
      <c r="H38" s="130"/>
      <c r="J38" s="74"/>
      <c r="L38" s="39"/>
    </row>
    <row r="39" spans="7:12">
      <c r="G39" s="94"/>
      <c r="H39" s="130"/>
      <c r="J39" s="74"/>
      <c r="L39" s="74"/>
    </row>
    <row r="40" spans="8:13">
      <c r="H40" s="130"/>
      <c r="J40" s="74"/>
      <c r="M40" s="39"/>
    </row>
    <row r="41" spans="7:13">
      <c r="G41" s="94"/>
      <c r="H41" s="130"/>
      <c r="J41" s="74"/>
      <c r="M41" s="39"/>
    </row>
    <row r="42" spans="8:13">
      <c r="H42" s="94"/>
      <c r="J42" s="94"/>
      <c r="M42" s="39"/>
    </row>
    <row r="43" spans="8:16">
      <c r="H43" s="94"/>
      <c r="J43" s="96"/>
      <c r="M43" s="39"/>
      <c r="P43" s="74"/>
    </row>
    <row r="44" spans="8:16">
      <c r="H44" s="94"/>
      <c r="M44" s="39"/>
      <c r="P44" s="74"/>
    </row>
    <row r="45" spans="7:13">
      <c r="G45" s="94"/>
      <c r="H45" s="94"/>
      <c r="M45" s="39"/>
    </row>
    <row r="46" spans="7:13">
      <c r="G46" s="74"/>
      <c r="H46" s="94"/>
      <c r="L46" s="139"/>
      <c r="M46" s="130"/>
    </row>
    <row r="47" spans="7:14">
      <c r="G47" s="94"/>
      <c r="H47" s="94"/>
      <c r="N47" s="39"/>
    </row>
    <row r="48" spans="7:13">
      <c r="G48" s="74"/>
      <c r="H48" s="94"/>
      <c r="M48" s="39"/>
    </row>
    <row r="49" spans="8:13">
      <c r="H49" s="94"/>
      <c r="M49" s="39"/>
    </row>
    <row r="50" spans="8:13">
      <c r="H50" s="94"/>
      <c r="M50" s="39"/>
    </row>
    <row r="51" spans="8:13">
      <c r="H51" s="94"/>
      <c r="M51" s="39"/>
    </row>
    <row r="52" spans="8:13">
      <c r="H52" s="131"/>
      <c r="I52" s="96"/>
      <c r="M52" s="39"/>
    </row>
    <row r="53" spans="8:13">
      <c r="H53" s="94"/>
      <c r="I53" s="39"/>
      <c r="M53" s="39"/>
    </row>
    <row r="54" spans="8:13">
      <c r="H54" s="94"/>
      <c r="I54" s="96"/>
      <c r="M54" s="39"/>
    </row>
    <row r="55" spans="8:13">
      <c r="H55" s="94"/>
      <c r="L55" s="139"/>
      <c r="M55" s="130"/>
    </row>
    <row r="56" spans="8:14">
      <c r="H56" s="74"/>
      <c r="N56" s="74"/>
    </row>
    <row r="57" spans="9:9">
      <c r="I57" s="74"/>
    </row>
    <row r="58" spans="9:14">
      <c r="I58" s="39"/>
      <c r="N58" s="74"/>
    </row>
    <row r="59" spans="9:14">
      <c r="I59" s="74"/>
      <c r="N59" s="74"/>
    </row>
    <row r="60" spans="13:13">
      <c r="M60" s="74"/>
    </row>
  </sheetData>
  <autoFilter xmlns:etc="http://www.wps.cn/officeDocument/2017/etCustomData" ref="P1:P33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7" right="0.7" top="0.75" bottom="0.75" header="0.3" footer="0.3"/>
  <pageSetup paperSize="1" orientation="portrait" horizontalDpi="360" verticalDpi="360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U62"/>
  <sheetViews>
    <sheetView workbookViewId="0">
      <pane xSplit="3" ySplit="5" topLeftCell="D6" activePane="bottomRight" state="frozen"/>
      <selection/>
      <selection pane="topRight"/>
      <selection pane="bottomLeft"/>
      <selection pane="bottomRight" activeCell="E18" sqref="E18"/>
    </sheetView>
  </sheetViews>
  <sheetFormatPr defaultColWidth="9" defaultRowHeight="16.8"/>
  <cols>
    <col min="1" max="1" width="12.2890625" customWidth="1"/>
    <col min="2" max="2" width="18.7109375" customWidth="1"/>
    <col min="3" max="3" width="35.4296875" customWidth="1"/>
    <col min="4" max="4" width="15.4296875" customWidth="1"/>
    <col min="5" max="5" width="14.2890625" customWidth="1"/>
    <col min="6" max="6" width="14.4296875" customWidth="1"/>
    <col min="7" max="7" width="14.140625" customWidth="1"/>
    <col min="8" max="8" width="16.859375" customWidth="1"/>
    <col min="9" max="9" width="13.4296875" customWidth="1"/>
    <col min="10" max="10" width="14.859375" customWidth="1"/>
    <col min="11" max="11" width="4.140625" customWidth="1"/>
    <col min="12" max="13" width="14.140625" customWidth="1"/>
    <col min="14" max="14" width="14.859375" customWidth="1"/>
    <col min="15" max="15" width="4.2890625" customWidth="1"/>
    <col min="16" max="16" width="14.5703125" customWidth="1"/>
    <col min="17" max="17" width="12.5703125" customWidth="1"/>
    <col min="18" max="18" width="32.140625" customWidth="1"/>
    <col min="19" max="19" width="11.140625" customWidth="1"/>
    <col min="21" max="21" width="10" customWidth="1"/>
  </cols>
  <sheetData>
    <row r="1" ht="17.6" spans="1:7">
      <c r="A1" s="2" t="s">
        <v>333</v>
      </c>
      <c r="B1" s="2"/>
      <c r="C1" s="1"/>
      <c r="D1" s="3"/>
      <c r="E1" s="25"/>
      <c r="F1" s="26"/>
      <c r="G1" s="27"/>
    </row>
    <row r="2" spans="1:17">
      <c r="A2" s="1"/>
      <c r="B2" s="1"/>
      <c r="C2" s="1"/>
      <c r="D2" s="3"/>
      <c r="E2" s="25"/>
      <c r="F2" s="1"/>
      <c r="G2" s="27"/>
      <c r="J2" s="57"/>
      <c r="L2" s="57">
        <f>J20+J31</f>
        <v>10451205</v>
      </c>
      <c r="M2" s="94"/>
      <c r="N2" s="57"/>
      <c r="P2" s="96"/>
      <c r="Q2" s="96"/>
    </row>
    <row r="3" spans="1:7">
      <c r="A3" s="4" t="s">
        <v>28</v>
      </c>
      <c r="B3" s="1"/>
      <c r="C3" s="1"/>
      <c r="D3" s="3"/>
      <c r="E3" s="25"/>
      <c r="F3" s="1"/>
      <c r="G3" s="27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L4" s="41" t="s">
        <v>32</v>
      </c>
      <c r="M4" s="41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L5" s="41"/>
      <c r="M5" s="41"/>
      <c r="N5" s="41"/>
      <c r="P5" s="41"/>
    </row>
    <row r="6" s="1" customFormat="1" ht="17.6" spans="1:21">
      <c r="A6" s="11">
        <v>45965</v>
      </c>
      <c r="B6" s="11" t="s">
        <v>334</v>
      </c>
      <c r="C6" s="12" t="s">
        <v>172</v>
      </c>
      <c r="D6" s="75"/>
      <c r="E6" s="78">
        <v>31575700</v>
      </c>
      <c r="F6" s="79"/>
      <c r="G6" s="80"/>
      <c r="H6" s="81">
        <f>SUM(D6:G6)</f>
        <v>31575700</v>
      </c>
      <c r="I6" s="75">
        <f>H6*0.11</f>
        <v>3473327</v>
      </c>
      <c r="J6" s="88">
        <f t="shared" ref="J6:J15" si="0">H6+I6</f>
        <v>35049027</v>
      </c>
      <c r="K6" s="89"/>
      <c r="L6" s="49">
        <v>45965</v>
      </c>
      <c r="M6" s="97"/>
      <c r="N6" s="98">
        <f>J6-M6</f>
        <v>35049027</v>
      </c>
      <c r="P6" s="99">
        <f>J6-M6-N6</f>
        <v>0</v>
      </c>
      <c r="R6" s="108"/>
      <c r="S6" s="108"/>
      <c r="T6" s="109"/>
      <c r="U6" s="109"/>
    </row>
    <row r="7" s="1" customFormat="1" ht="17.6" spans="1:21">
      <c r="A7" s="14">
        <v>45965</v>
      </c>
      <c r="B7" s="14" t="s">
        <v>335</v>
      </c>
      <c r="C7" s="15" t="s">
        <v>172</v>
      </c>
      <c r="D7" s="18"/>
      <c r="E7" s="82">
        <v>31575700</v>
      </c>
      <c r="F7" s="83"/>
      <c r="G7" s="84"/>
      <c r="H7" s="85">
        <f>SUM(D7:G7)</f>
        <v>31575700</v>
      </c>
      <c r="I7" s="18">
        <f>H7*0.11</f>
        <v>3473327</v>
      </c>
      <c r="J7" s="90">
        <f t="shared" si="0"/>
        <v>35049027</v>
      </c>
      <c r="K7" s="89"/>
      <c r="L7" s="49"/>
      <c r="M7" s="100"/>
      <c r="N7" s="101">
        <v>0</v>
      </c>
      <c r="P7" s="62">
        <f>J7-M7-N7</f>
        <v>35049027</v>
      </c>
      <c r="R7" s="110"/>
      <c r="S7" s="110"/>
      <c r="T7" s="111"/>
      <c r="U7" s="111"/>
    </row>
    <row r="8" s="1" customFormat="1" ht="17.6" spans="1:21">
      <c r="A8" s="14">
        <v>45965</v>
      </c>
      <c r="B8" s="14" t="s">
        <v>336</v>
      </c>
      <c r="C8" s="15" t="s">
        <v>337</v>
      </c>
      <c r="D8" s="18"/>
      <c r="E8" s="82"/>
      <c r="F8" s="83">
        <v>67650000</v>
      </c>
      <c r="G8" s="84"/>
      <c r="H8" s="85">
        <f t="shared" ref="H8:H33" si="1">SUM(D8:G8)</f>
        <v>67650000</v>
      </c>
      <c r="I8" s="18">
        <f t="shared" ref="I8:I33" si="2">H8*0.11</f>
        <v>7441500</v>
      </c>
      <c r="J8" s="90">
        <f t="shared" si="0"/>
        <v>75091500</v>
      </c>
      <c r="K8" s="89"/>
      <c r="L8" s="49">
        <v>45993</v>
      </c>
      <c r="M8" s="100"/>
      <c r="N8" s="101">
        <f>J8-M8</f>
        <v>75091500</v>
      </c>
      <c r="P8" s="65">
        <f t="shared" ref="P8:P33" si="3">J8-M8-N8</f>
        <v>0</v>
      </c>
      <c r="R8" s="110"/>
      <c r="S8" s="110"/>
      <c r="T8" s="111"/>
      <c r="U8" s="111"/>
    </row>
    <row r="9" s="1" customFormat="1" ht="17.6" spans="1:21">
      <c r="A9" s="14">
        <v>45967</v>
      </c>
      <c r="B9" s="14" t="s">
        <v>338</v>
      </c>
      <c r="C9" s="15" t="s">
        <v>52</v>
      </c>
      <c r="D9" s="18"/>
      <c r="E9" s="82"/>
      <c r="F9" s="83">
        <v>35625000</v>
      </c>
      <c r="G9" s="84"/>
      <c r="H9" s="85">
        <f t="shared" si="1"/>
        <v>35625000</v>
      </c>
      <c r="I9" s="18">
        <f t="shared" si="2"/>
        <v>3918750</v>
      </c>
      <c r="J9" s="90">
        <f t="shared" si="0"/>
        <v>39543750</v>
      </c>
      <c r="K9" s="89"/>
      <c r="L9" s="50"/>
      <c r="M9" s="66"/>
      <c r="N9" s="101">
        <v>0</v>
      </c>
      <c r="P9" s="65">
        <f t="shared" si="3"/>
        <v>39543750</v>
      </c>
      <c r="R9" s="112"/>
      <c r="S9" s="112"/>
      <c r="T9" s="112"/>
      <c r="U9" s="112"/>
    </row>
    <row r="10" s="1" customFormat="1" ht="17.6" spans="1:21">
      <c r="A10" s="14">
        <v>45968</v>
      </c>
      <c r="B10" s="14" t="s">
        <v>339</v>
      </c>
      <c r="C10" s="15" t="s">
        <v>167</v>
      </c>
      <c r="D10" s="18"/>
      <c r="E10" s="82">
        <v>36903500</v>
      </c>
      <c r="F10" s="83"/>
      <c r="G10" s="84"/>
      <c r="H10" s="85">
        <f t="shared" si="1"/>
        <v>36903500</v>
      </c>
      <c r="I10" s="18">
        <f t="shared" si="2"/>
        <v>4059385</v>
      </c>
      <c r="J10" s="90">
        <f t="shared" si="0"/>
        <v>40962885</v>
      </c>
      <c r="K10" s="89"/>
      <c r="L10" s="49"/>
      <c r="M10" s="102"/>
      <c r="N10" s="101">
        <v>0</v>
      </c>
      <c r="P10" s="65">
        <f t="shared" si="3"/>
        <v>40962885</v>
      </c>
      <c r="R10" s="112"/>
      <c r="S10" s="112"/>
      <c r="T10" s="112"/>
      <c r="U10" s="112"/>
    </row>
    <row r="11" s="1" customFormat="1" ht="17.6" spans="1:21">
      <c r="A11" s="14">
        <v>45973</v>
      </c>
      <c r="B11" s="14" t="s">
        <v>340</v>
      </c>
      <c r="C11" s="15" t="s">
        <v>341</v>
      </c>
      <c r="D11" s="76"/>
      <c r="E11" s="82"/>
      <c r="F11" s="82">
        <v>674865000</v>
      </c>
      <c r="G11" s="84"/>
      <c r="H11" s="85">
        <f t="shared" si="1"/>
        <v>674865000</v>
      </c>
      <c r="I11" s="18">
        <f t="shared" si="2"/>
        <v>74235150</v>
      </c>
      <c r="J11" s="90">
        <f t="shared" si="0"/>
        <v>749100150</v>
      </c>
      <c r="K11" s="89"/>
      <c r="L11" s="50">
        <v>45980</v>
      </c>
      <c r="M11" s="103">
        <v>220000000</v>
      </c>
      <c r="N11" s="101">
        <f>J11+M11</f>
        <v>969100150</v>
      </c>
      <c r="P11" s="65">
        <v>0</v>
      </c>
      <c r="R11" s="112"/>
      <c r="S11" s="112"/>
      <c r="T11" s="112"/>
      <c r="U11" s="112"/>
    </row>
    <row r="12" s="1" customFormat="1" ht="17.6" spans="1:21">
      <c r="A12" s="14">
        <v>45973</v>
      </c>
      <c r="B12" s="14" t="s">
        <v>342</v>
      </c>
      <c r="C12" s="15" t="s">
        <v>325</v>
      </c>
      <c r="D12" s="76">
        <v>63357000</v>
      </c>
      <c r="E12" s="82"/>
      <c r="F12" s="83"/>
      <c r="G12" s="84"/>
      <c r="H12" s="85">
        <f t="shared" si="1"/>
        <v>63357000</v>
      </c>
      <c r="I12" s="18">
        <f t="shared" si="2"/>
        <v>6969270</v>
      </c>
      <c r="J12" s="90">
        <f t="shared" si="0"/>
        <v>70326270</v>
      </c>
      <c r="K12" s="89"/>
      <c r="L12" s="49"/>
      <c r="M12" s="102"/>
      <c r="N12" s="101">
        <v>0</v>
      </c>
      <c r="P12" s="65">
        <f t="shared" si="3"/>
        <v>70326270</v>
      </c>
      <c r="R12" s="112"/>
      <c r="S12" s="112"/>
      <c r="T12" s="112"/>
      <c r="U12" s="112"/>
    </row>
    <row r="13" s="1" customFormat="1" ht="17.6" spans="1:21">
      <c r="A13" s="14">
        <v>45973</v>
      </c>
      <c r="B13" s="14" t="s">
        <v>343</v>
      </c>
      <c r="C13" s="15" t="s">
        <v>42</v>
      </c>
      <c r="D13" s="18">
        <v>18500000</v>
      </c>
      <c r="E13" s="82"/>
      <c r="F13" s="83"/>
      <c r="G13" s="84"/>
      <c r="H13" s="85">
        <f t="shared" si="1"/>
        <v>18500000</v>
      </c>
      <c r="I13" s="18">
        <f t="shared" si="2"/>
        <v>2035000</v>
      </c>
      <c r="J13" s="90">
        <f t="shared" si="0"/>
        <v>20535000</v>
      </c>
      <c r="K13" s="89"/>
      <c r="L13" s="50"/>
      <c r="M13" s="66"/>
      <c r="N13" s="101">
        <v>0</v>
      </c>
      <c r="P13" s="65">
        <f t="shared" si="3"/>
        <v>20535000</v>
      </c>
      <c r="R13" s="113"/>
      <c r="S13" s="112"/>
      <c r="T13" s="112"/>
      <c r="U13" s="112"/>
    </row>
    <row r="14" s="1" customFormat="1" ht="17.6" spans="1:21">
      <c r="A14" s="14">
        <v>45973</v>
      </c>
      <c r="B14" s="14" t="s">
        <v>344</v>
      </c>
      <c r="C14" s="15" t="s">
        <v>57</v>
      </c>
      <c r="D14" s="18"/>
      <c r="E14" s="82">
        <v>147000</v>
      </c>
      <c r="F14" s="83"/>
      <c r="G14" s="84"/>
      <c r="H14" s="85">
        <f t="shared" si="1"/>
        <v>147000</v>
      </c>
      <c r="I14" s="18">
        <f t="shared" si="2"/>
        <v>16170</v>
      </c>
      <c r="J14" s="90">
        <f t="shared" si="0"/>
        <v>163170</v>
      </c>
      <c r="K14" s="89"/>
      <c r="L14" s="49"/>
      <c r="M14" s="102"/>
      <c r="N14" s="101">
        <v>0</v>
      </c>
      <c r="P14" s="65">
        <f t="shared" si="3"/>
        <v>163170</v>
      </c>
      <c r="R14" s="64"/>
      <c r="S14" s="64"/>
      <c r="T14" s="112"/>
      <c r="U14" s="112"/>
    </row>
    <row r="15" s="1" customFormat="1" ht="17.6" spans="1:21">
      <c r="A15" s="77">
        <v>45974</v>
      </c>
      <c r="B15" s="77" t="s">
        <v>345</v>
      </c>
      <c r="C15" s="17" t="s">
        <v>341</v>
      </c>
      <c r="D15" s="18"/>
      <c r="E15" s="82"/>
      <c r="F15" s="83">
        <v>674865000</v>
      </c>
      <c r="G15" s="84"/>
      <c r="H15" s="85">
        <f t="shared" si="1"/>
        <v>674865000</v>
      </c>
      <c r="I15" s="18">
        <f t="shared" si="2"/>
        <v>74235150</v>
      </c>
      <c r="J15" s="90">
        <f t="shared" si="0"/>
        <v>749100150</v>
      </c>
      <c r="K15" s="89"/>
      <c r="L15" s="49">
        <v>45988</v>
      </c>
      <c r="M15" s="100">
        <v>220000000</v>
      </c>
      <c r="N15" s="101">
        <f>J15+M15</f>
        <v>969100150</v>
      </c>
      <c r="P15" s="65">
        <v>0</v>
      </c>
      <c r="R15" s="110"/>
      <c r="S15" s="110"/>
      <c r="T15" s="111"/>
      <c r="U15" s="111"/>
    </row>
    <row r="16" s="1" customFormat="1" ht="17.6" spans="1:21">
      <c r="A16" s="77">
        <v>45974</v>
      </c>
      <c r="B16" s="77" t="s">
        <v>346</v>
      </c>
      <c r="C16" s="17" t="s">
        <v>59</v>
      </c>
      <c r="D16" s="18"/>
      <c r="E16" s="82"/>
      <c r="F16" s="83">
        <v>3175000</v>
      </c>
      <c r="G16" s="84"/>
      <c r="H16" s="85">
        <f t="shared" si="1"/>
        <v>3175000</v>
      </c>
      <c r="I16" s="18">
        <f t="shared" si="2"/>
        <v>349250</v>
      </c>
      <c r="J16" s="90">
        <f t="shared" ref="J16:J32" si="4">H16+I16</f>
        <v>3524250</v>
      </c>
      <c r="K16" s="89"/>
      <c r="L16" s="49"/>
      <c r="M16" s="100"/>
      <c r="N16" s="101">
        <v>0</v>
      </c>
      <c r="P16" s="65">
        <f t="shared" si="3"/>
        <v>3524250</v>
      </c>
      <c r="R16" s="110"/>
      <c r="S16" s="110"/>
      <c r="T16" s="111"/>
      <c r="U16" s="111"/>
    </row>
    <row r="17" s="1" customFormat="1" ht="17.6" spans="1:21">
      <c r="A17" s="77">
        <v>45974</v>
      </c>
      <c r="B17" s="77" t="s">
        <v>347</v>
      </c>
      <c r="C17" s="17" t="s">
        <v>164</v>
      </c>
      <c r="D17" s="18"/>
      <c r="E17" s="82"/>
      <c r="F17" s="83">
        <v>56750000</v>
      </c>
      <c r="G17" s="84"/>
      <c r="H17" s="85">
        <f t="shared" si="1"/>
        <v>56750000</v>
      </c>
      <c r="I17" s="18">
        <f t="shared" si="2"/>
        <v>6242500</v>
      </c>
      <c r="J17" s="90">
        <f t="shared" si="4"/>
        <v>62992500</v>
      </c>
      <c r="K17" s="89"/>
      <c r="L17" s="49"/>
      <c r="M17" s="100"/>
      <c r="N17" s="101">
        <v>0</v>
      </c>
      <c r="P17" s="65">
        <f t="shared" si="3"/>
        <v>62992500</v>
      </c>
      <c r="R17" s="110"/>
      <c r="S17" s="110"/>
      <c r="T17" s="111"/>
      <c r="U17" s="111"/>
    </row>
    <row r="18" s="1" customFormat="1" ht="17.6" spans="1:21">
      <c r="A18" s="77">
        <v>45975</v>
      </c>
      <c r="B18" s="77" t="s">
        <v>348</v>
      </c>
      <c r="C18" s="17" t="s">
        <v>85</v>
      </c>
      <c r="D18" s="18"/>
      <c r="E18" s="82">
        <v>507240200</v>
      </c>
      <c r="F18" s="83"/>
      <c r="G18" s="84"/>
      <c r="H18" s="85">
        <f t="shared" si="1"/>
        <v>507240200</v>
      </c>
      <c r="I18" s="18">
        <f t="shared" si="2"/>
        <v>55796422</v>
      </c>
      <c r="J18" s="90">
        <f t="shared" si="4"/>
        <v>563036622</v>
      </c>
      <c r="K18" s="89"/>
      <c r="L18" s="49"/>
      <c r="M18" s="100"/>
      <c r="N18" s="101">
        <v>0</v>
      </c>
      <c r="P18" s="65">
        <f t="shared" si="3"/>
        <v>563036622</v>
      </c>
      <c r="R18" s="110"/>
      <c r="S18" s="110"/>
      <c r="T18" s="111"/>
      <c r="U18" s="111"/>
    </row>
    <row r="19" s="1" customFormat="1" ht="17.6" spans="1:21">
      <c r="A19" s="77">
        <v>45975</v>
      </c>
      <c r="B19" s="77" t="s">
        <v>349</v>
      </c>
      <c r="C19" s="17" t="s">
        <v>85</v>
      </c>
      <c r="D19" s="18"/>
      <c r="E19" s="82">
        <v>80935800</v>
      </c>
      <c r="F19" s="83"/>
      <c r="G19" s="84"/>
      <c r="H19" s="85">
        <f t="shared" si="1"/>
        <v>80935800</v>
      </c>
      <c r="I19" s="18">
        <f t="shared" si="2"/>
        <v>8902938</v>
      </c>
      <c r="J19" s="90">
        <f t="shared" si="4"/>
        <v>89838738</v>
      </c>
      <c r="K19" s="89"/>
      <c r="L19" s="49"/>
      <c r="M19" s="100"/>
      <c r="N19" s="101">
        <v>0</v>
      </c>
      <c r="P19" s="65">
        <f t="shared" si="3"/>
        <v>89838738</v>
      </c>
      <c r="R19" s="110"/>
      <c r="S19" s="110"/>
      <c r="T19" s="111"/>
      <c r="U19" s="111"/>
    </row>
    <row r="20" s="1" customFormat="1" ht="17.6" spans="1:21">
      <c r="A20" s="77">
        <v>45975</v>
      </c>
      <c r="B20" s="77" t="s">
        <v>350</v>
      </c>
      <c r="C20" s="17" t="s">
        <v>57</v>
      </c>
      <c r="D20" s="18"/>
      <c r="E20" s="82">
        <v>9415500</v>
      </c>
      <c r="F20" s="83"/>
      <c r="G20" s="84"/>
      <c r="H20" s="85">
        <f t="shared" si="1"/>
        <v>9415500</v>
      </c>
      <c r="I20" s="18">
        <f t="shared" si="2"/>
        <v>1035705</v>
      </c>
      <c r="J20" s="90">
        <f t="shared" si="4"/>
        <v>10451205</v>
      </c>
      <c r="K20" s="89"/>
      <c r="L20" s="49"/>
      <c r="M20" s="100"/>
      <c r="N20" s="101">
        <v>0</v>
      </c>
      <c r="P20" s="65">
        <f t="shared" si="3"/>
        <v>10451205</v>
      </c>
      <c r="R20" s="110"/>
      <c r="S20" s="110"/>
      <c r="T20" s="111"/>
      <c r="U20" s="111"/>
    </row>
    <row r="21" s="1" customFormat="1" ht="17.6" spans="1:21">
      <c r="A21" s="77">
        <v>45975</v>
      </c>
      <c r="B21" s="77" t="s">
        <v>351</v>
      </c>
      <c r="C21" s="17" t="s">
        <v>337</v>
      </c>
      <c r="D21" s="18">
        <v>112000000</v>
      </c>
      <c r="E21" s="82"/>
      <c r="F21" s="83"/>
      <c r="G21" s="84"/>
      <c r="H21" s="85">
        <f t="shared" si="1"/>
        <v>112000000</v>
      </c>
      <c r="I21" s="18">
        <f t="shared" si="2"/>
        <v>12320000</v>
      </c>
      <c r="J21" s="90">
        <f t="shared" si="4"/>
        <v>124320000</v>
      </c>
      <c r="K21" s="89"/>
      <c r="L21" s="49">
        <v>45993</v>
      </c>
      <c r="M21" s="100"/>
      <c r="N21" s="101">
        <f>J21-M21</f>
        <v>124320000</v>
      </c>
      <c r="P21" s="65">
        <f t="shared" si="3"/>
        <v>0</v>
      </c>
      <c r="Q21" s="73">
        <f>P8+P21</f>
        <v>0</v>
      </c>
      <c r="R21" s="110"/>
      <c r="S21" s="110"/>
      <c r="T21" s="111"/>
      <c r="U21" s="111"/>
    </row>
    <row r="22" s="1" customFormat="1" ht="17.6" spans="1:21">
      <c r="A22" s="77">
        <v>45978</v>
      </c>
      <c r="B22" s="77" t="s">
        <v>352</v>
      </c>
      <c r="C22" s="17" t="s">
        <v>316</v>
      </c>
      <c r="D22" s="18"/>
      <c r="E22" s="82">
        <v>44200000</v>
      </c>
      <c r="F22" s="83"/>
      <c r="G22" s="84"/>
      <c r="H22" s="85">
        <f t="shared" si="1"/>
        <v>44200000</v>
      </c>
      <c r="I22" s="18">
        <f t="shared" si="2"/>
        <v>4862000</v>
      </c>
      <c r="J22" s="90">
        <f t="shared" si="4"/>
        <v>49062000</v>
      </c>
      <c r="K22" s="89"/>
      <c r="L22" s="49"/>
      <c r="M22" s="100"/>
      <c r="N22" s="101">
        <v>0</v>
      </c>
      <c r="P22" s="65">
        <f t="shared" si="3"/>
        <v>49062000</v>
      </c>
      <c r="R22" s="110"/>
      <c r="S22" s="110"/>
      <c r="T22" s="111"/>
      <c r="U22" s="111"/>
    </row>
    <row r="23" s="1" customFormat="1" ht="17.6" spans="1:21">
      <c r="A23" s="77">
        <v>45978</v>
      </c>
      <c r="B23" s="77" t="s">
        <v>353</v>
      </c>
      <c r="C23" s="17" t="s">
        <v>341</v>
      </c>
      <c r="D23" s="18">
        <v>399135000</v>
      </c>
      <c r="E23" s="82"/>
      <c r="F23" s="83"/>
      <c r="G23" s="84"/>
      <c r="H23" s="85">
        <f t="shared" si="1"/>
        <v>399135000</v>
      </c>
      <c r="I23" s="18">
        <f t="shared" si="2"/>
        <v>43904850</v>
      </c>
      <c r="J23" s="90">
        <f t="shared" si="4"/>
        <v>443039850</v>
      </c>
      <c r="K23" s="89"/>
      <c r="L23" s="49">
        <v>45994</v>
      </c>
      <c r="M23" s="100">
        <f>D23*0.0265</f>
        <v>10577077.5</v>
      </c>
      <c r="N23" s="101">
        <f>J23-M23</f>
        <v>432462772.5</v>
      </c>
      <c r="P23" s="65">
        <f t="shared" si="3"/>
        <v>0</v>
      </c>
      <c r="R23" s="110"/>
      <c r="S23" s="110"/>
      <c r="T23" s="111"/>
      <c r="U23" s="111"/>
    </row>
    <row r="24" s="1" customFormat="1" ht="17.6" spans="1:21">
      <c r="A24" s="77">
        <v>45978</v>
      </c>
      <c r="B24" s="77" t="s">
        <v>354</v>
      </c>
      <c r="C24" s="17" t="s">
        <v>341</v>
      </c>
      <c r="D24" s="18">
        <v>399135000</v>
      </c>
      <c r="E24" s="82"/>
      <c r="F24" s="83"/>
      <c r="G24" s="84"/>
      <c r="H24" s="85">
        <f t="shared" ref="H24:H26" si="5">SUM(D24:G24)</f>
        <v>399135000</v>
      </c>
      <c r="I24" s="18">
        <f t="shared" ref="I24:I26" si="6">H24*0.11</f>
        <v>43904850</v>
      </c>
      <c r="J24" s="90">
        <f t="shared" ref="J24:J26" si="7">H24+I24</f>
        <v>443039850</v>
      </c>
      <c r="K24" s="89"/>
      <c r="L24" s="49"/>
      <c r="M24" s="100"/>
      <c r="N24" s="101">
        <v>0</v>
      </c>
      <c r="P24" s="65">
        <f t="shared" si="3"/>
        <v>443039850</v>
      </c>
      <c r="R24" s="110"/>
      <c r="S24" s="110"/>
      <c r="T24" s="111"/>
      <c r="U24" s="111"/>
    </row>
    <row r="25" s="1" customFormat="1" ht="17.6" spans="1:21">
      <c r="A25" s="77">
        <v>45981</v>
      </c>
      <c r="B25" s="77" t="s">
        <v>355</v>
      </c>
      <c r="C25" s="17" t="s">
        <v>59</v>
      </c>
      <c r="D25" s="18"/>
      <c r="E25" s="82"/>
      <c r="F25" s="83">
        <v>3175000</v>
      </c>
      <c r="G25" s="84"/>
      <c r="H25" s="85">
        <f t="shared" si="5"/>
        <v>3175000</v>
      </c>
      <c r="I25" s="18">
        <f t="shared" si="6"/>
        <v>349250</v>
      </c>
      <c r="J25" s="90">
        <f t="shared" si="7"/>
        <v>3524250</v>
      </c>
      <c r="K25" s="89"/>
      <c r="L25" s="49"/>
      <c r="M25" s="100"/>
      <c r="N25" s="101">
        <v>0</v>
      </c>
      <c r="P25" s="65">
        <f t="shared" si="3"/>
        <v>3524250</v>
      </c>
      <c r="R25" s="110"/>
      <c r="S25" s="110"/>
      <c r="T25" s="111"/>
      <c r="U25" s="111"/>
    </row>
    <row r="26" s="1" customFormat="1" ht="17.6" spans="1:21">
      <c r="A26" s="77">
        <v>45986</v>
      </c>
      <c r="B26" s="77" t="s">
        <v>356</v>
      </c>
      <c r="C26" s="17" t="s">
        <v>117</v>
      </c>
      <c r="D26" s="18"/>
      <c r="E26" s="82"/>
      <c r="F26" s="83">
        <v>11700000</v>
      </c>
      <c r="G26" s="84"/>
      <c r="H26" s="85">
        <f t="shared" si="5"/>
        <v>11700000</v>
      </c>
      <c r="I26" s="18">
        <f t="shared" si="6"/>
        <v>1287000</v>
      </c>
      <c r="J26" s="90">
        <f t="shared" si="7"/>
        <v>12987000</v>
      </c>
      <c r="K26" s="89"/>
      <c r="L26" s="49"/>
      <c r="M26" s="100"/>
      <c r="N26" s="101">
        <v>0</v>
      </c>
      <c r="P26" s="65">
        <f t="shared" si="3"/>
        <v>12987000</v>
      </c>
      <c r="R26" s="110"/>
      <c r="S26" s="110"/>
      <c r="T26" s="111"/>
      <c r="U26" s="111"/>
    </row>
    <row r="27" s="1" customFormat="1" ht="17.6" spans="1:21">
      <c r="A27" s="77">
        <v>45986</v>
      </c>
      <c r="B27" s="77" t="s">
        <v>357</v>
      </c>
      <c r="C27" s="17" t="s">
        <v>85</v>
      </c>
      <c r="D27" s="18"/>
      <c r="E27" s="82">
        <v>20160000</v>
      </c>
      <c r="F27" s="83"/>
      <c r="G27" s="84"/>
      <c r="H27" s="85">
        <f t="shared" ref="H27:H30" si="8">SUM(D27:G27)</f>
        <v>20160000</v>
      </c>
      <c r="I27" s="18">
        <f t="shared" ref="I27:I30" si="9">H27*0.11</f>
        <v>2217600</v>
      </c>
      <c r="J27" s="90">
        <f t="shared" ref="J27:J30" si="10">H27+I27</f>
        <v>22377600</v>
      </c>
      <c r="K27" s="89"/>
      <c r="L27" s="49"/>
      <c r="M27" s="100"/>
      <c r="N27" s="101">
        <v>0</v>
      </c>
      <c r="P27" s="65">
        <f t="shared" si="3"/>
        <v>22377600</v>
      </c>
      <c r="R27" s="110"/>
      <c r="S27" s="110"/>
      <c r="T27" s="111"/>
      <c r="U27" s="111"/>
    </row>
    <row r="28" s="1" customFormat="1" ht="17.6" spans="1:21">
      <c r="A28" s="77">
        <v>45989</v>
      </c>
      <c r="B28" s="77" t="s">
        <v>358</v>
      </c>
      <c r="C28" s="17" t="s">
        <v>57</v>
      </c>
      <c r="D28" s="18"/>
      <c r="E28" s="82">
        <v>38750000</v>
      </c>
      <c r="F28" s="83"/>
      <c r="G28" s="84"/>
      <c r="H28" s="85">
        <f t="shared" si="8"/>
        <v>38750000</v>
      </c>
      <c r="I28" s="18">
        <f t="shared" si="9"/>
        <v>4262500</v>
      </c>
      <c r="J28" s="90">
        <f t="shared" si="10"/>
        <v>43012500</v>
      </c>
      <c r="K28" s="89"/>
      <c r="L28" s="49"/>
      <c r="M28" s="100"/>
      <c r="N28" s="101">
        <v>0</v>
      </c>
      <c r="P28" s="65">
        <f t="shared" si="3"/>
        <v>43012500</v>
      </c>
      <c r="R28" s="110"/>
      <c r="S28" s="110"/>
      <c r="T28" s="111"/>
      <c r="U28" s="111"/>
    </row>
    <row r="29" s="1" customFormat="1" ht="17.6" spans="1:21">
      <c r="A29" s="77">
        <v>45989</v>
      </c>
      <c r="B29" s="77" t="s">
        <v>359</v>
      </c>
      <c r="C29" s="17" t="s">
        <v>57</v>
      </c>
      <c r="D29" s="18"/>
      <c r="E29" s="82">
        <v>162000</v>
      </c>
      <c r="F29" s="83"/>
      <c r="G29" s="84"/>
      <c r="H29" s="85">
        <f t="shared" si="8"/>
        <v>162000</v>
      </c>
      <c r="I29" s="18">
        <f t="shared" si="9"/>
        <v>17820</v>
      </c>
      <c r="J29" s="90">
        <f t="shared" si="10"/>
        <v>179820</v>
      </c>
      <c r="K29" s="89"/>
      <c r="L29" s="49"/>
      <c r="M29" s="100"/>
      <c r="N29" s="101">
        <v>0</v>
      </c>
      <c r="P29" s="65">
        <f t="shared" si="3"/>
        <v>179820</v>
      </c>
      <c r="R29" s="110"/>
      <c r="S29" s="110"/>
      <c r="T29" s="111"/>
      <c r="U29" s="111"/>
    </row>
    <row r="30" s="1" customFormat="1" ht="17.6" spans="1:21">
      <c r="A30" s="77">
        <v>45989</v>
      </c>
      <c r="B30" s="77" t="s">
        <v>360</v>
      </c>
      <c r="C30" s="17" t="s">
        <v>143</v>
      </c>
      <c r="D30" s="18"/>
      <c r="E30" s="82"/>
      <c r="F30" s="83">
        <v>53000000</v>
      </c>
      <c r="G30" s="84"/>
      <c r="H30" s="85">
        <f t="shared" si="8"/>
        <v>53000000</v>
      </c>
      <c r="I30" s="18">
        <f t="shared" si="9"/>
        <v>5830000</v>
      </c>
      <c r="J30" s="90">
        <f t="shared" si="10"/>
        <v>58830000</v>
      </c>
      <c r="K30" s="89"/>
      <c r="L30" s="49"/>
      <c r="M30" s="100"/>
      <c r="N30" s="101">
        <v>0</v>
      </c>
      <c r="P30" s="65">
        <f t="shared" si="3"/>
        <v>58830000</v>
      </c>
      <c r="R30" s="110"/>
      <c r="S30" s="110"/>
      <c r="T30" s="111"/>
      <c r="U30" s="111"/>
    </row>
    <row r="31" s="1" customFormat="1" ht="17.6" spans="1:21">
      <c r="A31" s="77"/>
      <c r="B31" s="77"/>
      <c r="C31" s="17"/>
      <c r="D31" s="18"/>
      <c r="E31" s="82"/>
      <c r="F31" s="83"/>
      <c r="G31" s="84"/>
      <c r="H31" s="85">
        <f t="shared" si="1"/>
        <v>0</v>
      </c>
      <c r="I31" s="18">
        <f t="shared" si="2"/>
        <v>0</v>
      </c>
      <c r="J31" s="90">
        <f t="shared" si="4"/>
        <v>0</v>
      </c>
      <c r="K31" s="89"/>
      <c r="L31" s="49"/>
      <c r="M31" s="100"/>
      <c r="N31" s="101">
        <f t="shared" ref="N31" si="11">J31-M31</f>
        <v>0</v>
      </c>
      <c r="P31" s="65">
        <f t="shared" si="3"/>
        <v>0</v>
      </c>
      <c r="R31" s="110"/>
      <c r="S31" s="110"/>
      <c r="T31" s="111"/>
      <c r="U31" s="111"/>
    </row>
    <row r="32" s="1" customFormat="1" ht="17.6" spans="1:21">
      <c r="A32" s="77"/>
      <c r="B32" s="77"/>
      <c r="C32" s="17"/>
      <c r="D32" s="18"/>
      <c r="E32" s="82"/>
      <c r="F32" s="83"/>
      <c r="G32" s="84"/>
      <c r="H32" s="85">
        <f t="shared" si="1"/>
        <v>0</v>
      </c>
      <c r="I32" s="18">
        <f t="shared" si="2"/>
        <v>0</v>
      </c>
      <c r="J32" s="90">
        <f t="shared" si="4"/>
        <v>0</v>
      </c>
      <c r="K32" s="89"/>
      <c r="L32" s="91"/>
      <c r="M32" s="104"/>
      <c r="N32" s="105">
        <v>0</v>
      </c>
      <c r="P32" s="106">
        <f t="shared" si="3"/>
        <v>0</v>
      </c>
      <c r="R32" s="114"/>
      <c r="S32" s="114"/>
      <c r="T32" s="115"/>
      <c r="U32" s="115"/>
    </row>
    <row r="33" s="1" customFormat="1" ht="17.6" spans="1:21">
      <c r="A33" s="77"/>
      <c r="B33" s="77"/>
      <c r="C33" s="17"/>
      <c r="D33" s="18"/>
      <c r="E33" s="82"/>
      <c r="F33" s="83"/>
      <c r="G33" s="84"/>
      <c r="H33" s="85">
        <f t="shared" si="1"/>
        <v>0</v>
      </c>
      <c r="I33" s="18">
        <f t="shared" si="2"/>
        <v>0</v>
      </c>
      <c r="J33" s="90">
        <f t="shared" ref="J33" si="12">H33+I33</f>
        <v>0</v>
      </c>
      <c r="K33" s="89"/>
      <c r="L33" s="92"/>
      <c r="M33" s="107"/>
      <c r="N33" s="105">
        <v>0</v>
      </c>
      <c r="P33" s="106">
        <f t="shared" si="3"/>
        <v>0</v>
      </c>
      <c r="R33" s="116"/>
      <c r="S33" s="116"/>
      <c r="T33" s="116"/>
      <c r="U33" s="116"/>
    </row>
    <row r="34" ht="21.75" customHeight="1" spans="1:21">
      <c r="A34" s="22"/>
      <c r="B34" s="22"/>
      <c r="C34" s="23" t="s">
        <v>10</v>
      </c>
      <c r="D34" s="24">
        <f t="shared" ref="D34:J34" si="13">SUM(D6:D33)</f>
        <v>992127000</v>
      </c>
      <c r="E34" s="24">
        <f t="shared" si="13"/>
        <v>801065400</v>
      </c>
      <c r="F34" s="24">
        <f t="shared" si="13"/>
        <v>1580805000</v>
      </c>
      <c r="G34" s="24">
        <f t="shared" si="13"/>
        <v>0</v>
      </c>
      <c r="H34" s="86">
        <f t="shared" si="13"/>
        <v>3373997400</v>
      </c>
      <c r="I34" s="86">
        <f t="shared" si="13"/>
        <v>371139714</v>
      </c>
      <c r="J34" s="86">
        <f t="shared" si="13"/>
        <v>3745137114</v>
      </c>
      <c r="L34" s="93"/>
      <c r="M34" s="93">
        <f>SUM(M6:M33)</f>
        <v>450577077.5</v>
      </c>
      <c r="N34" s="93">
        <f>SUM(N6:N33)</f>
        <v>2605123599.5</v>
      </c>
      <c r="O34" s="1"/>
      <c r="P34" s="93">
        <f>SUM(P6:P33)</f>
        <v>1569436437</v>
      </c>
      <c r="R34" s="93"/>
      <c r="S34" s="93"/>
      <c r="T34" s="93"/>
      <c r="U34" s="93">
        <f>SUM(U6:U33)</f>
        <v>0</v>
      </c>
    </row>
    <row r="35" ht="17.6" spans="8:21">
      <c r="H35" s="39"/>
      <c r="L35" s="89"/>
      <c r="M35" s="89"/>
      <c r="N35" s="1"/>
      <c r="O35" s="1"/>
      <c r="P35" s="1"/>
      <c r="U35" s="57">
        <f>M34-U34</f>
        <v>450577077.5</v>
      </c>
    </row>
    <row r="36" spans="8:14">
      <c r="H36" s="87"/>
      <c r="I36" s="94"/>
      <c r="N36" s="57"/>
    </row>
    <row r="37" spans="7:14">
      <c r="G37" s="39"/>
      <c r="I37" s="57"/>
      <c r="N37" s="57"/>
    </row>
    <row r="38" spans="7:16">
      <c r="G38" s="39"/>
      <c r="I38" s="39"/>
      <c r="L38" s="57"/>
      <c r="N38" s="57"/>
      <c r="P38" s="74"/>
    </row>
    <row r="39" spans="7:9">
      <c r="G39" s="39"/>
      <c r="I39" s="39"/>
    </row>
    <row r="40" spans="7:14">
      <c r="G40" s="39"/>
      <c r="I40" s="39"/>
      <c r="N40" s="57"/>
    </row>
    <row r="41" spans="7:14">
      <c r="G41" s="39"/>
      <c r="I41" s="39"/>
      <c r="N41" s="74"/>
    </row>
    <row r="42" spans="7:14">
      <c r="G42" s="39"/>
      <c r="I42" s="39"/>
      <c r="N42" s="74"/>
    </row>
    <row r="43" spans="7:9">
      <c r="G43" s="39"/>
      <c r="I43" s="39"/>
    </row>
    <row r="44" spans="7:9">
      <c r="G44" s="39"/>
      <c r="I44" s="39"/>
    </row>
    <row r="45" spans="7:9">
      <c r="G45" s="39"/>
      <c r="I45" s="39"/>
    </row>
    <row r="46" spans="7:9">
      <c r="G46" s="39"/>
      <c r="I46" s="39"/>
    </row>
    <row r="47" spans="7:9">
      <c r="G47" s="39"/>
      <c r="I47" s="39"/>
    </row>
    <row r="48" spans="7:9">
      <c r="G48" s="39"/>
      <c r="I48" s="39"/>
    </row>
    <row r="49" spans="7:9">
      <c r="G49" s="39"/>
      <c r="I49" s="39"/>
    </row>
    <row r="50" spans="7:9">
      <c r="G50" s="39"/>
      <c r="I50" s="39"/>
    </row>
    <row r="51" spans="7:16">
      <c r="G51" s="39"/>
      <c r="I51" s="39"/>
      <c r="L51" s="95"/>
      <c r="M51" s="95"/>
      <c r="N51" s="95"/>
      <c r="P51" s="95"/>
    </row>
    <row r="52" spans="7:9">
      <c r="G52" s="39"/>
      <c r="I52" s="39"/>
    </row>
    <row r="53" spans="7:9">
      <c r="G53" s="39"/>
      <c r="I53" s="39"/>
    </row>
    <row r="54" spans="7:9">
      <c r="G54" s="39"/>
      <c r="I54" s="39"/>
    </row>
    <row r="55" spans="7:9">
      <c r="G55" s="39"/>
      <c r="I55" s="39"/>
    </row>
    <row r="56" spans="7:9">
      <c r="G56" s="39"/>
      <c r="I56" s="39"/>
    </row>
    <row r="57" spans="7:9">
      <c r="G57" s="39"/>
      <c r="I57" s="39"/>
    </row>
    <row r="58" spans="7:9">
      <c r="G58" s="39"/>
      <c r="I58" s="39"/>
    </row>
    <row r="59" spans="7:7">
      <c r="G59" s="39"/>
    </row>
    <row r="60" spans="7:9">
      <c r="G60" s="39"/>
      <c r="I60" s="74"/>
    </row>
    <row r="61" spans="8:9">
      <c r="H61" s="74"/>
      <c r="I61" s="74"/>
    </row>
    <row r="62" spans="8:8">
      <c r="H62" s="74"/>
    </row>
  </sheetData>
  <autoFilter xmlns:etc="http://www.wps.cn/officeDocument/2017/etCustomData" ref="P1:P51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7" right="0.7" top="0.75" bottom="0.75" header="0.3" footer="0.3"/>
  <pageSetup paperSize="1" orientation="portrait" horizontalDpi="360" verticalDpi="360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Q79"/>
  <sheetViews>
    <sheetView workbookViewId="0">
      <pane ySplit="5" topLeftCell="A6" activePane="bottomLeft" state="frozen"/>
      <selection/>
      <selection pane="bottomLeft" activeCell="I29" sqref="I29"/>
    </sheetView>
  </sheetViews>
  <sheetFormatPr defaultColWidth="9" defaultRowHeight="16.8"/>
  <cols>
    <col min="1" max="1" width="12.2890625" customWidth="1"/>
    <col min="2" max="2" width="19.859375" customWidth="1"/>
    <col min="3" max="3" width="36.5703125" customWidth="1"/>
    <col min="4" max="4" width="15.4296875" customWidth="1"/>
    <col min="5" max="5" width="15.2890625" customWidth="1"/>
    <col min="6" max="6" width="14.4296875" customWidth="1"/>
    <col min="7" max="7" width="14.140625" customWidth="1"/>
    <col min="8" max="8" width="16.859375" customWidth="1"/>
    <col min="9" max="9" width="15.2890625" customWidth="1"/>
    <col min="10" max="10" width="14.859375" customWidth="1"/>
    <col min="11" max="11" width="3.140625" customWidth="1"/>
    <col min="12" max="13" width="13.859375" customWidth="1"/>
    <col min="14" max="14" width="13" customWidth="1"/>
    <col min="15" max="15" width="4.5703125" customWidth="1"/>
    <col min="16" max="16" width="14.5703125" customWidth="1"/>
    <col min="17" max="17" width="12.5703125" customWidth="1"/>
  </cols>
  <sheetData>
    <row r="1" ht="17.6" spans="1:7">
      <c r="A1" s="2" t="s">
        <v>361</v>
      </c>
      <c r="B1" s="2"/>
      <c r="C1" s="1"/>
      <c r="D1" s="3"/>
      <c r="E1" s="25"/>
      <c r="F1" s="26"/>
      <c r="G1" s="27"/>
    </row>
    <row r="2" spans="1:14">
      <c r="A2" s="1"/>
      <c r="B2" s="1"/>
      <c r="C2" s="1"/>
      <c r="D2" s="3"/>
      <c r="E2" s="25"/>
      <c r="F2" s="1"/>
      <c r="G2" s="27"/>
      <c r="N2" s="57"/>
    </row>
    <row r="3" spans="1:7">
      <c r="A3" s="4" t="s">
        <v>28</v>
      </c>
      <c r="B3" s="1"/>
      <c r="C3" s="1"/>
      <c r="D3" s="3"/>
      <c r="E3" s="25"/>
      <c r="F3" s="1"/>
      <c r="G3" s="27"/>
    </row>
    <row r="4" ht="22.5" customHeight="1" spans="1:16">
      <c r="A4" s="5" t="s">
        <v>29</v>
      </c>
      <c r="B4" s="6" t="s">
        <v>30</v>
      </c>
      <c r="C4" s="5" t="s">
        <v>31</v>
      </c>
      <c r="D4" s="7" t="s">
        <v>5</v>
      </c>
      <c r="E4" s="7"/>
      <c r="F4" s="7"/>
      <c r="G4" s="7"/>
      <c r="H4" s="7"/>
      <c r="I4" s="7"/>
      <c r="J4" s="7"/>
      <c r="K4" s="40"/>
      <c r="L4" s="41" t="s">
        <v>32</v>
      </c>
      <c r="M4" s="58" t="s">
        <v>33</v>
      </c>
      <c r="N4" s="41" t="s">
        <v>34</v>
      </c>
      <c r="P4" s="41" t="s">
        <v>35</v>
      </c>
    </row>
    <row r="5" ht="17.6" spans="1:16">
      <c r="A5" s="8"/>
      <c r="B5" s="9"/>
      <c r="C5" s="8"/>
      <c r="D5" s="10" t="s">
        <v>6</v>
      </c>
      <c r="E5" s="10" t="s">
        <v>7</v>
      </c>
      <c r="F5" s="28" t="s">
        <v>8</v>
      </c>
      <c r="G5" s="28" t="s">
        <v>9</v>
      </c>
      <c r="H5" s="28" t="s">
        <v>10</v>
      </c>
      <c r="I5" s="42" t="s">
        <v>28</v>
      </c>
      <c r="J5" s="42" t="s">
        <v>36</v>
      </c>
      <c r="K5" s="43"/>
      <c r="L5" s="41"/>
      <c r="M5" s="59"/>
      <c r="N5" s="41"/>
      <c r="P5" s="41"/>
    </row>
    <row r="6" s="1" customFormat="1" ht="17.6" spans="1:16">
      <c r="A6" s="11">
        <v>45992</v>
      </c>
      <c r="B6" s="11" t="s">
        <v>362</v>
      </c>
      <c r="C6" s="12" t="s">
        <v>63</v>
      </c>
      <c r="D6" s="13"/>
      <c r="E6" s="29"/>
      <c r="F6" s="13">
        <v>472686563</v>
      </c>
      <c r="G6" s="29"/>
      <c r="H6" s="30">
        <f>SUM(D6:G6)</f>
        <v>472686563</v>
      </c>
      <c r="I6" s="13">
        <f>H6*0.11</f>
        <v>51995521.93</v>
      </c>
      <c r="J6" s="44">
        <f>H6+I6</f>
        <v>524682084.93</v>
      </c>
      <c r="K6" s="45"/>
      <c r="L6" s="46">
        <v>46000</v>
      </c>
      <c r="M6" s="60"/>
      <c r="N6" s="61">
        <f>J6-M6</f>
        <v>524682084.93</v>
      </c>
      <c r="P6" s="62">
        <f>J6-N6</f>
        <v>0</v>
      </c>
    </row>
    <row r="7" s="1" customFormat="1" spans="1:16">
      <c r="A7" s="14">
        <v>45994</v>
      </c>
      <c r="B7" s="14" t="s">
        <v>363</v>
      </c>
      <c r="C7" s="15" t="s">
        <v>42</v>
      </c>
      <c r="D7" s="16"/>
      <c r="E7" s="31"/>
      <c r="F7" s="16">
        <v>464100000</v>
      </c>
      <c r="G7" s="31"/>
      <c r="H7" s="32">
        <f>SUM(D7:G7)</f>
        <v>464100000</v>
      </c>
      <c r="I7" s="16">
        <f>H7*0.11</f>
        <v>51051000</v>
      </c>
      <c r="J7" s="47">
        <f t="shared" ref="J7:J25" si="0">H7+I7</f>
        <v>515151000</v>
      </c>
      <c r="K7" s="48"/>
      <c r="L7" s="49"/>
      <c r="M7" s="63"/>
      <c r="N7" s="64">
        <v>0</v>
      </c>
      <c r="P7" s="62">
        <f>J7-N7</f>
        <v>515151000</v>
      </c>
    </row>
    <row r="8" s="1" customFormat="1" spans="1:16">
      <c r="A8" s="14">
        <v>45994</v>
      </c>
      <c r="B8" s="14" t="s">
        <v>364</v>
      </c>
      <c r="C8" s="15" t="s">
        <v>42</v>
      </c>
      <c r="D8" s="16"/>
      <c r="E8" s="31"/>
      <c r="F8" s="16">
        <v>32300000</v>
      </c>
      <c r="G8" s="31"/>
      <c r="H8" s="32">
        <f>SUM(D8:G8)</f>
        <v>32300000</v>
      </c>
      <c r="I8" s="16">
        <f t="shared" ref="I8:I54" si="1">H8*0.11</f>
        <v>3553000</v>
      </c>
      <c r="J8" s="47">
        <f t="shared" si="0"/>
        <v>35853000</v>
      </c>
      <c r="K8" s="45"/>
      <c r="L8" s="49"/>
      <c r="M8" s="63"/>
      <c r="N8" s="64">
        <v>0</v>
      </c>
      <c r="P8" s="62">
        <f>J8-N8</f>
        <v>35853000</v>
      </c>
    </row>
    <row r="9" s="1" customFormat="1" spans="1:16">
      <c r="A9" s="14">
        <v>45994</v>
      </c>
      <c r="B9" s="14" t="s">
        <v>365</v>
      </c>
      <c r="C9" s="15" t="s">
        <v>42</v>
      </c>
      <c r="D9" s="16"/>
      <c r="E9" s="31"/>
      <c r="F9" s="16">
        <v>36000000</v>
      </c>
      <c r="G9" s="31"/>
      <c r="H9" s="32">
        <f t="shared" ref="H9:H54" si="2">SUM(D9:G9)</f>
        <v>36000000</v>
      </c>
      <c r="I9" s="16">
        <f t="shared" si="1"/>
        <v>3960000</v>
      </c>
      <c r="J9" s="47">
        <f t="shared" si="0"/>
        <v>39960000</v>
      </c>
      <c r="K9" s="45"/>
      <c r="L9" s="49"/>
      <c r="M9" s="63"/>
      <c r="N9" s="64">
        <v>0</v>
      </c>
      <c r="P9" s="65">
        <f t="shared" ref="P9:P54" si="3">J9-N9</f>
        <v>39960000</v>
      </c>
    </row>
    <row r="10" s="1" customFormat="1" ht="17.6" spans="1:17">
      <c r="A10" s="14">
        <v>45996</v>
      </c>
      <c r="B10" s="14" t="s">
        <v>366</v>
      </c>
      <c r="C10" s="15" t="s">
        <v>42</v>
      </c>
      <c r="D10" s="16">
        <v>144600000</v>
      </c>
      <c r="E10" s="31"/>
      <c r="F10" s="16"/>
      <c r="G10" s="31"/>
      <c r="H10" s="32">
        <f t="shared" si="2"/>
        <v>144600000</v>
      </c>
      <c r="I10" s="16">
        <f t="shared" si="1"/>
        <v>15906000</v>
      </c>
      <c r="J10" s="47">
        <f t="shared" si="0"/>
        <v>160506000</v>
      </c>
      <c r="K10" s="45"/>
      <c r="L10" s="50"/>
      <c r="M10" s="66"/>
      <c r="N10" s="64">
        <v>0</v>
      </c>
      <c r="P10" s="65">
        <f t="shared" si="3"/>
        <v>160506000</v>
      </c>
      <c r="Q10" s="1">
        <f>D10*0.02</f>
        <v>2892000</v>
      </c>
    </row>
    <row r="11" s="1" customFormat="1" ht="17.6" spans="1:17">
      <c r="A11" s="14">
        <v>45996</v>
      </c>
      <c r="B11" s="14" t="s">
        <v>367</v>
      </c>
      <c r="C11" s="15" t="s">
        <v>42</v>
      </c>
      <c r="D11" s="16"/>
      <c r="E11" s="31"/>
      <c r="F11" s="16">
        <v>62375000</v>
      </c>
      <c r="G11" s="31"/>
      <c r="H11" s="32">
        <f t="shared" si="2"/>
        <v>62375000</v>
      </c>
      <c r="I11" s="16">
        <f t="shared" si="1"/>
        <v>6861250</v>
      </c>
      <c r="J11" s="47">
        <f t="shared" si="0"/>
        <v>69236250</v>
      </c>
      <c r="K11" s="45"/>
      <c r="L11" s="50"/>
      <c r="M11" s="66"/>
      <c r="N11" s="64">
        <v>0</v>
      </c>
      <c r="P11" s="65">
        <f t="shared" si="3"/>
        <v>69236250</v>
      </c>
      <c r="Q11" s="73">
        <f>P10-Q10</f>
        <v>157614000</v>
      </c>
    </row>
    <row r="12" s="1" customFormat="1" spans="1:17">
      <c r="A12" s="14">
        <v>45996</v>
      </c>
      <c r="B12" s="14" t="s">
        <v>368</v>
      </c>
      <c r="C12" s="15" t="s">
        <v>42</v>
      </c>
      <c r="D12" s="16">
        <v>92000000</v>
      </c>
      <c r="E12" s="31"/>
      <c r="F12" s="16"/>
      <c r="G12" s="31"/>
      <c r="H12" s="32">
        <f t="shared" si="2"/>
        <v>92000000</v>
      </c>
      <c r="I12" s="16">
        <f t="shared" si="1"/>
        <v>10120000</v>
      </c>
      <c r="J12" s="47">
        <f t="shared" si="0"/>
        <v>102120000</v>
      </c>
      <c r="K12" s="45"/>
      <c r="L12" s="50"/>
      <c r="M12" s="67"/>
      <c r="N12" s="64">
        <v>0</v>
      </c>
      <c r="P12" s="65">
        <f t="shared" si="3"/>
        <v>102120000</v>
      </c>
      <c r="Q12" s="73">
        <f>P7+P8+P9+Q11+P11</f>
        <v>817814250</v>
      </c>
    </row>
    <row r="13" s="1" customFormat="1" ht="17.6" spans="1:17">
      <c r="A13" s="14">
        <v>45996</v>
      </c>
      <c r="B13" s="14" t="s">
        <v>369</v>
      </c>
      <c r="C13" s="15" t="s">
        <v>52</v>
      </c>
      <c r="D13" s="16"/>
      <c r="E13" s="31"/>
      <c r="F13" s="16">
        <v>17812500</v>
      </c>
      <c r="G13" s="31"/>
      <c r="H13" s="32">
        <f t="shared" si="2"/>
        <v>17812500</v>
      </c>
      <c r="I13" s="16">
        <f t="shared" si="1"/>
        <v>1959375</v>
      </c>
      <c r="J13" s="47">
        <f t="shared" si="0"/>
        <v>19771875</v>
      </c>
      <c r="K13" s="45"/>
      <c r="L13" s="50"/>
      <c r="M13" s="66"/>
      <c r="N13" s="64">
        <v>0</v>
      </c>
      <c r="P13" s="65">
        <f t="shared" si="3"/>
        <v>19771875</v>
      </c>
      <c r="Q13" s="1">
        <f>D12*0.02</f>
        <v>1840000</v>
      </c>
    </row>
    <row r="14" s="1" customFormat="1" ht="17.6" spans="1:17">
      <c r="A14" s="14">
        <v>46003</v>
      </c>
      <c r="B14" s="14" t="s">
        <v>370</v>
      </c>
      <c r="C14" s="15" t="s">
        <v>85</v>
      </c>
      <c r="D14" s="16"/>
      <c r="E14" s="31">
        <v>69440000</v>
      </c>
      <c r="F14" s="16"/>
      <c r="G14" s="31"/>
      <c r="H14" s="32">
        <f t="shared" si="2"/>
        <v>69440000</v>
      </c>
      <c r="I14" s="16">
        <f t="shared" si="1"/>
        <v>7638400</v>
      </c>
      <c r="J14" s="47">
        <f t="shared" si="0"/>
        <v>77078400</v>
      </c>
      <c r="K14" s="45"/>
      <c r="L14" s="50"/>
      <c r="M14" s="66"/>
      <c r="N14" s="64">
        <v>0</v>
      </c>
      <c r="P14" s="65">
        <f t="shared" si="3"/>
        <v>77078400</v>
      </c>
      <c r="Q14" s="73">
        <f>P12-Q13</f>
        <v>100280000</v>
      </c>
    </row>
    <row r="15" s="1" customFormat="1" ht="17.6" spans="1:17">
      <c r="A15" s="14">
        <v>46003</v>
      </c>
      <c r="B15" s="14" t="s">
        <v>371</v>
      </c>
      <c r="C15" s="15" t="s">
        <v>57</v>
      </c>
      <c r="D15" s="16"/>
      <c r="E15" s="31">
        <v>9212000</v>
      </c>
      <c r="F15" s="16"/>
      <c r="G15" s="31"/>
      <c r="H15" s="32">
        <f t="shared" si="2"/>
        <v>9212000</v>
      </c>
      <c r="I15" s="16">
        <f t="shared" si="1"/>
        <v>1013320</v>
      </c>
      <c r="J15" s="47">
        <f t="shared" si="0"/>
        <v>10225320</v>
      </c>
      <c r="K15" s="45"/>
      <c r="L15" s="50"/>
      <c r="M15" s="66"/>
      <c r="N15" s="64">
        <v>0</v>
      </c>
      <c r="P15" s="65">
        <f t="shared" si="3"/>
        <v>10225320</v>
      </c>
      <c r="Q15" s="73">
        <f>Q12+Q14</f>
        <v>918094250</v>
      </c>
    </row>
    <row r="16" s="1" customFormat="1" ht="17.6" spans="1:16">
      <c r="A16" s="14">
        <v>46003</v>
      </c>
      <c r="B16" s="14" t="s">
        <v>372</v>
      </c>
      <c r="C16" s="15" t="s">
        <v>98</v>
      </c>
      <c r="D16" s="16"/>
      <c r="E16" s="31">
        <v>37800000</v>
      </c>
      <c r="F16" s="16"/>
      <c r="G16" s="31"/>
      <c r="H16" s="32">
        <f t="shared" si="2"/>
        <v>37800000</v>
      </c>
      <c r="I16" s="16">
        <f t="shared" si="1"/>
        <v>4158000</v>
      </c>
      <c r="J16" s="47">
        <f t="shared" si="0"/>
        <v>41958000</v>
      </c>
      <c r="K16" s="45"/>
      <c r="L16" s="50"/>
      <c r="M16" s="66"/>
      <c r="N16" s="64">
        <v>0</v>
      </c>
      <c r="P16" s="65">
        <f t="shared" si="3"/>
        <v>41958000</v>
      </c>
    </row>
    <row r="17" s="1" customFormat="1" ht="17.6" spans="1:16">
      <c r="A17" s="14">
        <v>46002</v>
      </c>
      <c r="B17" s="14" t="s">
        <v>373</v>
      </c>
      <c r="C17" s="15" t="s">
        <v>85</v>
      </c>
      <c r="D17" s="16"/>
      <c r="E17" s="31">
        <v>39736000</v>
      </c>
      <c r="F17" s="16"/>
      <c r="G17" s="31"/>
      <c r="H17" s="32">
        <f t="shared" si="2"/>
        <v>39736000</v>
      </c>
      <c r="I17" s="16">
        <f t="shared" si="1"/>
        <v>4370960</v>
      </c>
      <c r="J17" s="47">
        <f t="shared" si="0"/>
        <v>44106960</v>
      </c>
      <c r="K17" s="45"/>
      <c r="L17" s="50"/>
      <c r="M17" s="66"/>
      <c r="N17" s="64">
        <v>0</v>
      </c>
      <c r="P17" s="65">
        <f t="shared" si="3"/>
        <v>44106960</v>
      </c>
    </row>
    <row r="18" s="1" customFormat="1" ht="17.6" spans="1:16">
      <c r="A18" s="14">
        <v>46002</v>
      </c>
      <c r="B18" s="14" t="s">
        <v>374</v>
      </c>
      <c r="C18" s="15" t="s">
        <v>375</v>
      </c>
      <c r="D18" s="16"/>
      <c r="E18" s="31"/>
      <c r="F18" s="16">
        <v>213281250</v>
      </c>
      <c r="G18" s="31"/>
      <c r="H18" s="32">
        <f t="shared" si="2"/>
        <v>213281250</v>
      </c>
      <c r="I18" s="16">
        <f t="shared" si="1"/>
        <v>23460937.5</v>
      </c>
      <c r="J18" s="47">
        <f t="shared" si="0"/>
        <v>236742187.5</v>
      </c>
      <c r="K18" s="45"/>
      <c r="L18" s="50">
        <v>46002</v>
      </c>
      <c r="M18" s="68">
        <v>2500000</v>
      </c>
      <c r="N18" s="64">
        <f>J18+M18</f>
        <v>239242187.5</v>
      </c>
      <c r="P18" s="65">
        <v>0</v>
      </c>
    </row>
    <row r="19" s="1" customFormat="1" ht="17.6" spans="1:16">
      <c r="A19" s="14">
        <v>46004</v>
      </c>
      <c r="B19" s="14" t="s">
        <v>376</v>
      </c>
      <c r="C19" s="15" t="s">
        <v>42</v>
      </c>
      <c r="D19" s="16"/>
      <c r="E19" s="31"/>
      <c r="F19" s="16">
        <v>67800000</v>
      </c>
      <c r="G19" s="31"/>
      <c r="H19" s="32">
        <f t="shared" si="2"/>
        <v>67800000</v>
      </c>
      <c r="I19" s="16">
        <f t="shared" si="1"/>
        <v>7458000</v>
      </c>
      <c r="J19" s="47">
        <f t="shared" si="0"/>
        <v>75258000</v>
      </c>
      <c r="K19" s="45"/>
      <c r="L19" s="50"/>
      <c r="M19" s="66"/>
      <c r="N19" s="64">
        <v>0</v>
      </c>
      <c r="P19" s="65">
        <f t="shared" si="3"/>
        <v>75258000</v>
      </c>
    </row>
    <row r="20" s="1" customFormat="1" ht="17.6" spans="1:16">
      <c r="A20" s="14">
        <v>46009</v>
      </c>
      <c r="B20" s="14" t="s">
        <v>377</v>
      </c>
      <c r="C20" s="17" t="s">
        <v>341</v>
      </c>
      <c r="D20" s="16"/>
      <c r="E20" s="31"/>
      <c r="F20" s="33">
        <v>1574685000</v>
      </c>
      <c r="G20" s="31"/>
      <c r="H20" s="32">
        <f t="shared" si="2"/>
        <v>1574685000</v>
      </c>
      <c r="I20" s="16">
        <f t="shared" si="1"/>
        <v>173215350</v>
      </c>
      <c r="J20" s="47">
        <f t="shared" si="0"/>
        <v>1747900350</v>
      </c>
      <c r="K20" s="45"/>
      <c r="L20" s="50"/>
      <c r="M20" s="66"/>
      <c r="N20" s="64">
        <v>0</v>
      </c>
      <c r="P20" s="65">
        <f t="shared" si="3"/>
        <v>1747900350</v>
      </c>
    </row>
    <row r="21" s="1" customFormat="1" ht="17.6" spans="1:16">
      <c r="A21" s="14">
        <v>46009</v>
      </c>
      <c r="B21" s="14" t="s">
        <v>378</v>
      </c>
      <c r="C21" s="17" t="s">
        <v>341</v>
      </c>
      <c r="D21" s="16"/>
      <c r="E21" s="31"/>
      <c r="F21" s="33">
        <v>1574685000</v>
      </c>
      <c r="G21" s="31"/>
      <c r="H21" s="32">
        <f t="shared" si="2"/>
        <v>1574685000</v>
      </c>
      <c r="I21" s="16">
        <f t="shared" si="1"/>
        <v>173215350</v>
      </c>
      <c r="J21" s="47">
        <f t="shared" si="0"/>
        <v>1747900350</v>
      </c>
      <c r="K21" s="45"/>
      <c r="L21" s="50"/>
      <c r="M21" s="66"/>
      <c r="N21" s="64">
        <v>0</v>
      </c>
      <c r="P21" s="65">
        <f t="shared" si="3"/>
        <v>1747900350</v>
      </c>
    </row>
    <row r="22" s="1" customFormat="1" ht="17.6" spans="1:16">
      <c r="A22" s="14">
        <v>46006</v>
      </c>
      <c r="B22" s="14" t="s">
        <v>379</v>
      </c>
      <c r="C22" s="15" t="s">
        <v>380</v>
      </c>
      <c r="D22" s="18"/>
      <c r="E22" s="31">
        <v>5873750</v>
      </c>
      <c r="F22" s="16"/>
      <c r="G22" s="31"/>
      <c r="H22" s="32">
        <f t="shared" si="2"/>
        <v>5873750</v>
      </c>
      <c r="I22" s="16">
        <f t="shared" si="1"/>
        <v>646112.5</v>
      </c>
      <c r="J22" s="47">
        <f t="shared" si="0"/>
        <v>6519862.5</v>
      </c>
      <c r="K22" s="45"/>
      <c r="L22" s="50">
        <v>46000</v>
      </c>
      <c r="M22" s="66"/>
      <c r="N22" s="64">
        <f>J22-M22</f>
        <v>6519862.5</v>
      </c>
      <c r="P22" s="65">
        <f t="shared" si="3"/>
        <v>0</v>
      </c>
    </row>
    <row r="23" s="1" customFormat="1" ht="17.6" spans="1:16">
      <c r="A23" s="14">
        <v>46008</v>
      </c>
      <c r="B23" s="14" t="s">
        <v>381</v>
      </c>
      <c r="C23" s="15" t="s">
        <v>42</v>
      </c>
      <c r="D23" s="18">
        <v>120000000</v>
      </c>
      <c r="E23" s="31"/>
      <c r="F23" s="16"/>
      <c r="G23" s="31"/>
      <c r="H23" s="32">
        <f t="shared" si="2"/>
        <v>120000000</v>
      </c>
      <c r="I23" s="16">
        <f t="shared" si="1"/>
        <v>13200000</v>
      </c>
      <c r="J23" s="47">
        <f t="shared" si="0"/>
        <v>133200000</v>
      </c>
      <c r="K23" s="45"/>
      <c r="L23" s="50"/>
      <c r="M23" s="66"/>
      <c r="N23" s="64">
        <v>0</v>
      </c>
      <c r="P23" s="65">
        <f t="shared" si="3"/>
        <v>133200000</v>
      </c>
    </row>
    <row r="24" s="1" customFormat="1" spans="1:16">
      <c r="A24" s="14">
        <v>46008</v>
      </c>
      <c r="B24" s="14" t="s">
        <v>382</v>
      </c>
      <c r="C24" s="15" t="s">
        <v>42</v>
      </c>
      <c r="D24" s="18"/>
      <c r="E24" s="31"/>
      <c r="F24" s="16">
        <v>196700000</v>
      </c>
      <c r="G24" s="31"/>
      <c r="H24" s="32">
        <f t="shared" si="2"/>
        <v>196700000</v>
      </c>
      <c r="I24" s="16">
        <f t="shared" si="1"/>
        <v>21637000</v>
      </c>
      <c r="J24" s="47">
        <f t="shared" si="0"/>
        <v>218337000</v>
      </c>
      <c r="K24" s="45"/>
      <c r="L24" s="49"/>
      <c r="M24" s="63"/>
      <c r="N24" s="64">
        <v>0</v>
      </c>
      <c r="P24" s="65">
        <f t="shared" si="3"/>
        <v>218337000</v>
      </c>
    </row>
    <row r="25" s="1" customFormat="1" ht="17.6" spans="1:16">
      <c r="A25" s="14">
        <v>46008</v>
      </c>
      <c r="B25" s="14" t="s">
        <v>383</v>
      </c>
      <c r="C25" s="15" t="s">
        <v>42</v>
      </c>
      <c r="D25" s="18"/>
      <c r="E25" s="31"/>
      <c r="F25" s="16">
        <v>524400000</v>
      </c>
      <c r="G25" s="31"/>
      <c r="H25" s="32">
        <f t="shared" si="2"/>
        <v>524400000</v>
      </c>
      <c r="I25" s="16">
        <f t="shared" si="1"/>
        <v>57684000</v>
      </c>
      <c r="J25" s="47">
        <f t="shared" si="0"/>
        <v>582084000</v>
      </c>
      <c r="K25" s="45"/>
      <c r="L25" s="50"/>
      <c r="M25" s="66"/>
      <c r="N25" s="64">
        <v>0</v>
      </c>
      <c r="P25" s="65">
        <f t="shared" si="3"/>
        <v>582084000</v>
      </c>
    </row>
    <row r="26" spans="1:16">
      <c r="A26" s="14">
        <v>46008</v>
      </c>
      <c r="B26" s="14" t="s">
        <v>384</v>
      </c>
      <c r="C26" s="15" t="s">
        <v>42</v>
      </c>
      <c r="D26" s="18"/>
      <c r="E26" s="31"/>
      <c r="F26" s="16">
        <v>650800000</v>
      </c>
      <c r="G26" s="31"/>
      <c r="H26" s="32">
        <f t="shared" si="2"/>
        <v>650800000</v>
      </c>
      <c r="I26" s="16">
        <f t="shared" si="1"/>
        <v>71588000</v>
      </c>
      <c r="J26" s="47">
        <f t="shared" ref="J26:J54" si="4">H26+I26</f>
        <v>722388000</v>
      </c>
      <c r="K26" s="45"/>
      <c r="L26" s="51"/>
      <c r="M26" s="69"/>
      <c r="N26" s="64">
        <v>0</v>
      </c>
      <c r="P26" s="65">
        <f t="shared" si="3"/>
        <v>722388000</v>
      </c>
    </row>
    <row r="27" spans="1:16">
      <c r="A27" s="14">
        <v>46007</v>
      </c>
      <c r="B27" s="14" t="s">
        <v>385</v>
      </c>
      <c r="C27" s="15" t="s">
        <v>106</v>
      </c>
      <c r="D27" s="18"/>
      <c r="E27" s="31">
        <v>8450000</v>
      </c>
      <c r="F27" s="16"/>
      <c r="G27" s="31"/>
      <c r="H27" s="32">
        <f t="shared" si="2"/>
        <v>8450000</v>
      </c>
      <c r="I27" s="16">
        <f t="shared" si="1"/>
        <v>929500</v>
      </c>
      <c r="J27" s="47">
        <f t="shared" si="4"/>
        <v>9379500</v>
      </c>
      <c r="K27" s="45"/>
      <c r="L27" s="49"/>
      <c r="M27" s="70"/>
      <c r="N27" s="64">
        <v>0</v>
      </c>
      <c r="P27" s="65">
        <f t="shared" si="3"/>
        <v>9379500</v>
      </c>
    </row>
    <row r="28" spans="1:16">
      <c r="A28" s="14">
        <v>46007</v>
      </c>
      <c r="B28" s="14" t="s">
        <v>386</v>
      </c>
      <c r="C28" s="15" t="s">
        <v>106</v>
      </c>
      <c r="D28" s="18"/>
      <c r="E28" s="31">
        <v>4550000</v>
      </c>
      <c r="F28" s="16"/>
      <c r="G28" s="31"/>
      <c r="H28" s="32">
        <f t="shared" si="2"/>
        <v>4550000</v>
      </c>
      <c r="I28" s="16">
        <f t="shared" si="1"/>
        <v>500500</v>
      </c>
      <c r="J28" s="47">
        <f t="shared" si="4"/>
        <v>5050500</v>
      </c>
      <c r="K28" s="45"/>
      <c r="L28" s="51"/>
      <c r="M28" s="69"/>
      <c r="N28" s="64">
        <v>0</v>
      </c>
      <c r="P28" s="65">
        <f t="shared" si="3"/>
        <v>5050500</v>
      </c>
    </row>
    <row r="29" spans="1:16">
      <c r="A29" s="14">
        <v>46013</v>
      </c>
      <c r="B29" s="14" t="s">
        <v>387</v>
      </c>
      <c r="C29" s="15" t="s">
        <v>164</v>
      </c>
      <c r="D29" s="18">
        <v>29000000</v>
      </c>
      <c r="E29" s="31"/>
      <c r="F29" s="16"/>
      <c r="G29" s="31"/>
      <c r="H29" s="32">
        <f t="shared" si="2"/>
        <v>29000000</v>
      </c>
      <c r="I29" s="16">
        <f t="shared" si="1"/>
        <v>3190000</v>
      </c>
      <c r="J29" s="47">
        <f t="shared" si="4"/>
        <v>32190000</v>
      </c>
      <c r="K29" s="45"/>
      <c r="L29" s="51"/>
      <c r="M29" s="69"/>
      <c r="N29" s="64">
        <v>0</v>
      </c>
      <c r="P29" s="65">
        <f t="shared" si="3"/>
        <v>32190000</v>
      </c>
    </row>
    <row r="30" spans="1:16">
      <c r="A30" s="14"/>
      <c r="B30" s="14" t="s">
        <v>388</v>
      </c>
      <c r="C30" s="15"/>
      <c r="D30" s="18"/>
      <c r="E30" s="31"/>
      <c r="F30" s="16"/>
      <c r="G30" s="31"/>
      <c r="H30" s="32">
        <f t="shared" si="2"/>
        <v>0</v>
      </c>
      <c r="I30" s="16">
        <f t="shared" si="1"/>
        <v>0</v>
      </c>
      <c r="J30" s="47">
        <f t="shared" ref="J30:J52" si="5">H30+I30</f>
        <v>0</v>
      </c>
      <c r="K30" s="45"/>
      <c r="L30" s="51"/>
      <c r="M30" s="69"/>
      <c r="N30" s="64">
        <v>0</v>
      </c>
      <c r="P30" s="65">
        <f t="shared" si="3"/>
        <v>0</v>
      </c>
    </row>
    <row r="31" spans="1:16">
      <c r="A31" s="14"/>
      <c r="B31" s="14" t="s">
        <v>389</v>
      </c>
      <c r="C31" s="15"/>
      <c r="D31" s="18"/>
      <c r="E31" s="31"/>
      <c r="F31" s="16"/>
      <c r="G31" s="31"/>
      <c r="H31" s="32">
        <f t="shared" si="2"/>
        <v>0</v>
      </c>
      <c r="I31" s="16">
        <f t="shared" si="1"/>
        <v>0</v>
      </c>
      <c r="J31" s="47">
        <f t="shared" si="5"/>
        <v>0</v>
      </c>
      <c r="K31" s="45"/>
      <c r="L31" s="51"/>
      <c r="M31" s="69"/>
      <c r="N31" s="64">
        <v>0</v>
      </c>
      <c r="P31" s="65">
        <f t="shared" si="3"/>
        <v>0</v>
      </c>
    </row>
    <row r="32" spans="1:16">
      <c r="A32" s="14"/>
      <c r="B32" s="14" t="s">
        <v>390</v>
      </c>
      <c r="C32" s="15"/>
      <c r="D32" s="18"/>
      <c r="E32" s="31"/>
      <c r="F32" s="16"/>
      <c r="G32" s="31"/>
      <c r="H32" s="32">
        <f t="shared" si="2"/>
        <v>0</v>
      </c>
      <c r="I32" s="16">
        <f t="shared" si="1"/>
        <v>0</v>
      </c>
      <c r="J32" s="47">
        <f t="shared" si="5"/>
        <v>0</v>
      </c>
      <c r="K32" s="45"/>
      <c r="L32" s="51"/>
      <c r="M32" s="69"/>
      <c r="N32" s="64">
        <v>0</v>
      </c>
      <c r="P32" s="65">
        <f t="shared" si="3"/>
        <v>0</v>
      </c>
    </row>
    <row r="33" spans="1:16">
      <c r="A33" s="14"/>
      <c r="B33" s="14" t="s">
        <v>391</v>
      </c>
      <c r="C33" s="15"/>
      <c r="D33" s="18"/>
      <c r="E33" s="31"/>
      <c r="F33" s="16"/>
      <c r="G33" s="31"/>
      <c r="H33" s="32">
        <f t="shared" si="2"/>
        <v>0</v>
      </c>
      <c r="I33" s="16">
        <f t="shared" si="1"/>
        <v>0</v>
      </c>
      <c r="J33" s="47">
        <f t="shared" si="5"/>
        <v>0</v>
      </c>
      <c r="K33" s="45"/>
      <c r="L33" s="51"/>
      <c r="M33" s="69"/>
      <c r="N33" s="64">
        <v>0</v>
      </c>
      <c r="P33" s="65">
        <f t="shared" si="3"/>
        <v>0</v>
      </c>
    </row>
    <row r="34" spans="1:16">
      <c r="A34" s="14"/>
      <c r="B34" s="14" t="s">
        <v>392</v>
      </c>
      <c r="C34" s="15"/>
      <c r="D34" s="18"/>
      <c r="E34" s="31"/>
      <c r="F34" s="16"/>
      <c r="G34" s="31"/>
      <c r="H34" s="32">
        <f t="shared" si="2"/>
        <v>0</v>
      </c>
      <c r="I34" s="16">
        <f t="shared" ref="I34:I48" si="6">H34*0.11</f>
        <v>0</v>
      </c>
      <c r="J34" s="47">
        <f t="shared" ref="J34:J48" si="7">H34+I34</f>
        <v>0</v>
      </c>
      <c r="K34" s="45"/>
      <c r="L34" s="51"/>
      <c r="M34" s="69"/>
      <c r="N34" s="64">
        <v>0</v>
      </c>
      <c r="P34" s="65">
        <f t="shared" si="3"/>
        <v>0</v>
      </c>
    </row>
    <row r="35" spans="1:16">
      <c r="A35" s="14"/>
      <c r="B35" s="14" t="s">
        <v>393</v>
      </c>
      <c r="C35" s="15"/>
      <c r="D35" s="18"/>
      <c r="E35" s="31"/>
      <c r="F35" s="16"/>
      <c r="G35" s="31"/>
      <c r="H35" s="32">
        <f t="shared" si="2"/>
        <v>0</v>
      </c>
      <c r="I35" s="16">
        <f t="shared" si="6"/>
        <v>0</v>
      </c>
      <c r="J35" s="47">
        <f t="shared" si="7"/>
        <v>0</v>
      </c>
      <c r="K35" s="45"/>
      <c r="L35" s="51"/>
      <c r="M35" s="69"/>
      <c r="N35" s="64">
        <f>J35-M35</f>
        <v>0</v>
      </c>
      <c r="P35" s="65">
        <f t="shared" si="3"/>
        <v>0</v>
      </c>
    </row>
    <row r="36" spans="1:16">
      <c r="A36" s="14"/>
      <c r="B36" s="14" t="s">
        <v>394</v>
      </c>
      <c r="C36" s="15"/>
      <c r="D36" s="18"/>
      <c r="E36" s="31"/>
      <c r="F36" s="16"/>
      <c r="G36" s="31"/>
      <c r="H36" s="32">
        <f t="shared" ref="H36:H42" si="8">SUM(D36:G36)</f>
        <v>0</v>
      </c>
      <c r="I36" s="16">
        <f t="shared" si="6"/>
        <v>0</v>
      </c>
      <c r="J36" s="47">
        <f t="shared" si="7"/>
        <v>0</v>
      </c>
      <c r="K36" s="45"/>
      <c r="L36" s="51"/>
      <c r="M36" s="69"/>
      <c r="N36" s="64">
        <v>0</v>
      </c>
      <c r="P36" s="65">
        <f t="shared" si="3"/>
        <v>0</v>
      </c>
    </row>
    <row r="37" spans="1:16">
      <c r="A37" s="14"/>
      <c r="B37" s="14" t="s">
        <v>395</v>
      </c>
      <c r="C37" s="15"/>
      <c r="D37" s="18"/>
      <c r="E37" s="31"/>
      <c r="F37" s="16"/>
      <c r="G37" s="31"/>
      <c r="H37" s="32">
        <f t="shared" si="8"/>
        <v>0</v>
      </c>
      <c r="I37" s="16">
        <f t="shared" si="6"/>
        <v>0</v>
      </c>
      <c r="J37" s="47">
        <f t="shared" si="7"/>
        <v>0</v>
      </c>
      <c r="K37" s="45"/>
      <c r="L37" s="51"/>
      <c r="M37" s="69"/>
      <c r="N37" s="64">
        <v>0</v>
      </c>
      <c r="P37" s="65">
        <f t="shared" si="3"/>
        <v>0</v>
      </c>
    </row>
    <row r="38" spans="1:16">
      <c r="A38" s="14"/>
      <c r="B38" s="14" t="s">
        <v>396</v>
      </c>
      <c r="C38" s="15"/>
      <c r="D38" s="18"/>
      <c r="E38" s="31"/>
      <c r="F38" s="16"/>
      <c r="G38" s="31"/>
      <c r="H38" s="32">
        <f t="shared" si="8"/>
        <v>0</v>
      </c>
      <c r="I38" s="16">
        <f t="shared" si="6"/>
        <v>0</v>
      </c>
      <c r="J38" s="47">
        <f t="shared" si="7"/>
        <v>0</v>
      </c>
      <c r="K38" s="45"/>
      <c r="L38" s="51"/>
      <c r="M38" s="71"/>
      <c r="N38" s="64">
        <v>0</v>
      </c>
      <c r="P38" s="65">
        <f t="shared" si="3"/>
        <v>0</v>
      </c>
    </row>
    <row r="39" spans="1:16">
      <c r="A39" s="14"/>
      <c r="B39" s="14" t="s">
        <v>397</v>
      </c>
      <c r="C39" s="15"/>
      <c r="D39" s="18"/>
      <c r="E39" s="31"/>
      <c r="F39" s="16"/>
      <c r="G39" s="31"/>
      <c r="H39" s="32">
        <f t="shared" si="8"/>
        <v>0</v>
      </c>
      <c r="I39" s="16">
        <f t="shared" si="6"/>
        <v>0</v>
      </c>
      <c r="J39" s="47">
        <f t="shared" si="7"/>
        <v>0</v>
      </c>
      <c r="K39" s="45"/>
      <c r="L39" s="51"/>
      <c r="M39" s="69"/>
      <c r="N39" s="64">
        <v>0</v>
      </c>
      <c r="P39" s="65">
        <f t="shared" si="3"/>
        <v>0</v>
      </c>
    </row>
    <row r="40" spans="1:16">
      <c r="A40" s="14"/>
      <c r="B40" s="14" t="s">
        <v>398</v>
      </c>
      <c r="C40" s="15"/>
      <c r="D40" s="18"/>
      <c r="E40" s="31"/>
      <c r="F40" s="16"/>
      <c r="G40" s="31"/>
      <c r="H40" s="32">
        <f t="shared" si="8"/>
        <v>0</v>
      </c>
      <c r="I40" s="16">
        <f t="shared" si="6"/>
        <v>0</v>
      </c>
      <c r="J40" s="47">
        <f t="shared" si="7"/>
        <v>0</v>
      </c>
      <c r="K40" s="45"/>
      <c r="L40" s="51"/>
      <c r="M40" s="69"/>
      <c r="N40" s="64">
        <v>0</v>
      </c>
      <c r="P40" s="65">
        <f t="shared" si="3"/>
        <v>0</v>
      </c>
    </row>
    <row r="41" spans="1:16">
      <c r="A41" s="14"/>
      <c r="B41" s="14" t="s">
        <v>399</v>
      </c>
      <c r="C41" s="15"/>
      <c r="D41" s="18"/>
      <c r="E41" s="31"/>
      <c r="F41" s="16"/>
      <c r="G41" s="31"/>
      <c r="H41" s="32">
        <f t="shared" si="8"/>
        <v>0</v>
      </c>
      <c r="I41" s="16">
        <f t="shared" si="6"/>
        <v>0</v>
      </c>
      <c r="J41" s="47">
        <f t="shared" si="7"/>
        <v>0</v>
      </c>
      <c r="K41" s="45"/>
      <c r="L41" s="51"/>
      <c r="M41" s="69"/>
      <c r="N41" s="64">
        <v>0</v>
      </c>
      <c r="P41" s="65">
        <f t="shared" si="3"/>
        <v>0</v>
      </c>
    </row>
    <row r="42" spans="1:16">
      <c r="A42" s="14"/>
      <c r="B42" s="14" t="s">
        <v>400</v>
      </c>
      <c r="C42" s="15"/>
      <c r="D42" s="18"/>
      <c r="E42" s="31"/>
      <c r="F42" s="16"/>
      <c r="G42" s="31"/>
      <c r="H42" s="32">
        <f t="shared" si="8"/>
        <v>0</v>
      </c>
      <c r="I42" s="16">
        <f t="shared" si="6"/>
        <v>0</v>
      </c>
      <c r="J42" s="47">
        <f t="shared" si="7"/>
        <v>0</v>
      </c>
      <c r="K42" s="45"/>
      <c r="L42" s="51"/>
      <c r="M42" s="69"/>
      <c r="N42" s="64">
        <v>0</v>
      </c>
      <c r="P42" s="65">
        <f t="shared" si="3"/>
        <v>0</v>
      </c>
    </row>
    <row r="43" spans="1:16">
      <c r="A43" s="14"/>
      <c r="B43" s="14" t="s">
        <v>401</v>
      </c>
      <c r="C43" s="15"/>
      <c r="D43" s="18"/>
      <c r="E43" s="31"/>
      <c r="F43" s="16"/>
      <c r="G43" s="31"/>
      <c r="H43" s="32">
        <f t="shared" si="2"/>
        <v>0</v>
      </c>
      <c r="I43" s="16">
        <f t="shared" si="6"/>
        <v>0</v>
      </c>
      <c r="J43" s="47">
        <f t="shared" si="7"/>
        <v>0</v>
      </c>
      <c r="K43" s="45"/>
      <c r="L43" s="51"/>
      <c r="M43" s="69"/>
      <c r="N43" s="64">
        <f>J43-M43</f>
        <v>0</v>
      </c>
      <c r="P43" s="65">
        <f t="shared" si="3"/>
        <v>0</v>
      </c>
    </row>
    <row r="44" spans="1:16">
      <c r="A44" s="14"/>
      <c r="B44" s="14" t="s">
        <v>402</v>
      </c>
      <c r="C44" s="15"/>
      <c r="D44" s="18"/>
      <c r="E44" s="31"/>
      <c r="F44" s="16"/>
      <c r="G44" s="31"/>
      <c r="H44" s="32">
        <f t="shared" si="2"/>
        <v>0</v>
      </c>
      <c r="I44" s="16">
        <f t="shared" si="6"/>
        <v>0</v>
      </c>
      <c r="J44" s="47">
        <f t="shared" si="7"/>
        <v>0</v>
      </c>
      <c r="K44" s="45"/>
      <c r="L44" s="51"/>
      <c r="M44" s="69"/>
      <c r="N44" s="64">
        <f>J44-M44</f>
        <v>0</v>
      </c>
      <c r="P44" s="65">
        <f t="shared" si="3"/>
        <v>0</v>
      </c>
    </row>
    <row r="45" spans="1:16">
      <c r="A45" s="14"/>
      <c r="B45" s="14" t="s">
        <v>403</v>
      </c>
      <c r="C45" s="15"/>
      <c r="D45" s="18"/>
      <c r="E45" s="31"/>
      <c r="F45" s="16"/>
      <c r="G45" s="31"/>
      <c r="H45" s="32">
        <f t="shared" si="2"/>
        <v>0</v>
      </c>
      <c r="I45" s="16">
        <f t="shared" si="6"/>
        <v>0</v>
      </c>
      <c r="J45" s="47">
        <f t="shared" si="7"/>
        <v>0</v>
      </c>
      <c r="K45" s="45"/>
      <c r="L45" s="51"/>
      <c r="M45" s="69"/>
      <c r="N45" s="64">
        <v>0</v>
      </c>
      <c r="P45" s="65">
        <f t="shared" si="3"/>
        <v>0</v>
      </c>
    </row>
    <row r="46" spans="1:16">
      <c r="A46" s="14"/>
      <c r="B46" s="14" t="s">
        <v>404</v>
      </c>
      <c r="C46" s="15"/>
      <c r="D46" s="18"/>
      <c r="E46" s="31"/>
      <c r="F46" s="16"/>
      <c r="G46" s="31"/>
      <c r="H46" s="32">
        <f t="shared" si="2"/>
        <v>0</v>
      </c>
      <c r="I46" s="16">
        <f t="shared" si="6"/>
        <v>0</v>
      </c>
      <c r="J46" s="47">
        <f t="shared" si="7"/>
        <v>0</v>
      </c>
      <c r="K46" s="45"/>
      <c r="L46" s="51"/>
      <c r="M46" s="69"/>
      <c r="N46" s="64">
        <v>0</v>
      </c>
      <c r="P46" s="65">
        <f t="shared" si="3"/>
        <v>0</v>
      </c>
    </row>
    <row r="47" spans="1:16">
      <c r="A47" s="14"/>
      <c r="B47" s="14" t="s">
        <v>405</v>
      </c>
      <c r="C47" s="15"/>
      <c r="D47" s="18"/>
      <c r="E47" s="31"/>
      <c r="F47" s="16"/>
      <c r="G47" s="31"/>
      <c r="H47" s="32">
        <f t="shared" si="2"/>
        <v>0</v>
      </c>
      <c r="I47" s="16">
        <f t="shared" si="6"/>
        <v>0</v>
      </c>
      <c r="J47" s="47">
        <f t="shared" si="7"/>
        <v>0</v>
      </c>
      <c r="K47" s="45"/>
      <c r="L47" s="51"/>
      <c r="M47" s="69"/>
      <c r="N47" s="64">
        <v>0</v>
      </c>
      <c r="P47" s="65">
        <f t="shared" si="3"/>
        <v>0</v>
      </c>
    </row>
    <row r="48" spans="1:16">
      <c r="A48" s="14"/>
      <c r="B48" s="14" t="s">
        <v>406</v>
      </c>
      <c r="C48" s="15"/>
      <c r="D48" s="18"/>
      <c r="E48" s="31"/>
      <c r="F48" s="16"/>
      <c r="G48" s="31"/>
      <c r="H48" s="32">
        <f t="shared" si="2"/>
        <v>0</v>
      </c>
      <c r="I48" s="16">
        <f t="shared" si="6"/>
        <v>0</v>
      </c>
      <c r="J48" s="47">
        <f t="shared" si="7"/>
        <v>0</v>
      </c>
      <c r="K48" s="45"/>
      <c r="L48" s="51"/>
      <c r="M48" s="69"/>
      <c r="N48" s="64">
        <v>0</v>
      </c>
      <c r="P48" s="65">
        <f t="shared" si="3"/>
        <v>0</v>
      </c>
    </row>
    <row r="49" spans="1:16">
      <c r="A49" s="14"/>
      <c r="B49" s="14"/>
      <c r="C49" s="15"/>
      <c r="D49" s="18"/>
      <c r="E49" s="31"/>
      <c r="F49" s="16"/>
      <c r="G49" s="31"/>
      <c r="H49" s="32">
        <f t="shared" si="2"/>
        <v>0</v>
      </c>
      <c r="I49" s="16">
        <f t="shared" si="1"/>
        <v>0</v>
      </c>
      <c r="J49" s="47">
        <f t="shared" si="5"/>
        <v>0</v>
      </c>
      <c r="K49" s="45"/>
      <c r="L49" s="51"/>
      <c r="M49" s="69"/>
      <c r="N49" s="64">
        <f>J49-M49</f>
        <v>0</v>
      </c>
      <c r="P49" s="65">
        <f t="shared" si="3"/>
        <v>0</v>
      </c>
    </row>
    <row r="50" spans="1:16">
      <c r="A50" s="14"/>
      <c r="B50" s="14"/>
      <c r="C50" s="15"/>
      <c r="D50" s="18"/>
      <c r="E50" s="31"/>
      <c r="F50" s="16"/>
      <c r="G50" s="31"/>
      <c r="H50" s="32">
        <f t="shared" si="2"/>
        <v>0</v>
      </c>
      <c r="I50" s="16">
        <f t="shared" si="1"/>
        <v>0</v>
      </c>
      <c r="J50" s="47">
        <f t="shared" si="5"/>
        <v>0</v>
      </c>
      <c r="K50" s="45"/>
      <c r="L50" s="51"/>
      <c r="M50" s="69"/>
      <c r="N50" s="64">
        <v>0</v>
      </c>
      <c r="P50" s="65">
        <f t="shared" si="3"/>
        <v>0</v>
      </c>
    </row>
    <row r="51" spans="1:16">
      <c r="A51" s="14"/>
      <c r="B51" s="14"/>
      <c r="C51" s="15"/>
      <c r="D51" s="18"/>
      <c r="E51" s="31"/>
      <c r="F51" s="16"/>
      <c r="G51" s="31"/>
      <c r="H51" s="32">
        <f t="shared" si="2"/>
        <v>0</v>
      </c>
      <c r="I51" s="16">
        <f t="shared" si="1"/>
        <v>0</v>
      </c>
      <c r="J51" s="47">
        <f t="shared" si="5"/>
        <v>0</v>
      </c>
      <c r="K51" s="45"/>
      <c r="L51" s="51"/>
      <c r="M51" s="69"/>
      <c r="N51" s="64">
        <v>0</v>
      </c>
      <c r="P51" s="65">
        <f t="shared" si="3"/>
        <v>0</v>
      </c>
    </row>
    <row r="52" spans="1:16">
      <c r="A52" s="14"/>
      <c r="B52" s="14"/>
      <c r="C52" s="15"/>
      <c r="D52" s="18"/>
      <c r="E52" s="31"/>
      <c r="F52" s="16"/>
      <c r="G52" s="31"/>
      <c r="H52" s="32">
        <f t="shared" si="2"/>
        <v>0</v>
      </c>
      <c r="I52" s="16">
        <f t="shared" si="1"/>
        <v>0</v>
      </c>
      <c r="J52" s="47">
        <f t="shared" si="5"/>
        <v>0</v>
      </c>
      <c r="K52" s="45"/>
      <c r="L52" s="51"/>
      <c r="M52" s="69"/>
      <c r="N52" s="64">
        <v>0</v>
      </c>
      <c r="P52" s="65">
        <f t="shared" si="3"/>
        <v>0</v>
      </c>
    </row>
    <row r="53" spans="1:16">
      <c r="A53" s="14"/>
      <c r="B53" s="14"/>
      <c r="C53" s="15"/>
      <c r="D53" s="16"/>
      <c r="E53" s="34"/>
      <c r="F53" s="16"/>
      <c r="G53" s="31"/>
      <c r="H53" s="32">
        <f t="shared" si="2"/>
        <v>0</v>
      </c>
      <c r="I53" s="16">
        <f t="shared" si="1"/>
        <v>0</v>
      </c>
      <c r="J53" s="47">
        <f t="shared" si="4"/>
        <v>0</v>
      </c>
      <c r="K53" s="45"/>
      <c r="L53" s="51"/>
      <c r="M53" s="69"/>
      <c r="N53" s="64">
        <v>0</v>
      </c>
      <c r="P53" s="65">
        <f t="shared" si="3"/>
        <v>0</v>
      </c>
    </row>
    <row r="54" spans="1:16">
      <c r="A54" s="19"/>
      <c r="B54" s="19"/>
      <c r="C54" s="20"/>
      <c r="D54" s="21"/>
      <c r="E54" s="35"/>
      <c r="F54" s="21"/>
      <c r="G54" s="36"/>
      <c r="H54" s="37">
        <f t="shared" si="2"/>
        <v>0</v>
      </c>
      <c r="I54" s="52">
        <f t="shared" si="1"/>
        <v>0</v>
      </c>
      <c r="J54" s="53">
        <f t="shared" si="4"/>
        <v>0</v>
      </c>
      <c r="K54" s="45"/>
      <c r="L54" s="54"/>
      <c r="M54" s="63">
        <v>0</v>
      </c>
      <c r="N54" s="72">
        <f t="shared" ref="N54" si="9">J54-M54</f>
        <v>0</v>
      </c>
      <c r="P54" s="65">
        <f t="shared" si="3"/>
        <v>0</v>
      </c>
    </row>
    <row r="55" ht="21.75" customHeight="1" spans="1:16">
      <c r="A55" s="22"/>
      <c r="B55" s="22"/>
      <c r="C55" s="23" t="s">
        <v>10</v>
      </c>
      <c r="D55" s="24">
        <f t="shared" ref="D55:J55" si="10">SUM(D6:D54)</f>
        <v>385600000</v>
      </c>
      <c r="E55" s="24">
        <f t="shared" si="10"/>
        <v>175061750</v>
      </c>
      <c r="F55" s="24">
        <f t="shared" si="10"/>
        <v>5887625313</v>
      </c>
      <c r="G55" s="24">
        <f t="shared" si="10"/>
        <v>0</v>
      </c>
      <c r="H55" s="38">
        <f t="shared" si="10"/>
        <v>6448287063</v>
      </c>
      <c r="I55" s="38">
        <f t="shared" si="10"/>
        <v>709311576.93</v>
      </c>
      <c r="J55" s="24">
        <f t="shared" si="10"/>
        <v>7157598639.93</v>
      </c>
      <c r="K55" s="45"/>
      <c r="L55" s="38"/>
      <c r="M55" s="38">
        <f t="shared" ref="M55:P55" si="11">SUM(M6:M54)</f>
        <v>2500000</v>
      </c>
      <c r="N55" s="38">
        <f t="shared" si="11"/>
        <v>770444134.93</v>
      </c>
      <c r="P55" s="38">
        <f t="shared" si="11"/>
        <v>6389654505</v>
      </c>
    </row>
    <row r="57" spans="8:8">
      <c r="H57" s="39"/>
    </row>
    <row r="58" spans="8:8">
      <c r="H58" s="39"/>
    </row>
    <row r="59" spans="8:9">
      <c r="H59" s="39"/>
      <c r="I59" s="55"/>
    </row>
    <row r="60" spans="8:9">
      <c r="H60" s="39"/>
      <c r="I60" s="55"/>
    </row>
    <row r="61" spans="8:9">
      <c r="H61" s="39"/>
      <c r="I61" s="56"/>
    </row>
    <row r="62" spans="8:8">
      <c r="H62" s="39"/>
    </row>
    <row r="63" spans="8:8">
      <c r="H63" s="39"/>
    </row>
    <row r="64" spans="8:8">
      <c r="H64" s="39"/>
    </row>
    <row r="65" spans="8:8">
      <c r="H65" s="39"/>
    </row>
    <row r="66" spans="8:8">
      <c r="H66" s="39"/>
    </row>
    <row r="67" spans="7:8">
      <c r="G67" s="74"/>
      <c r="H67" s="39"/>
    </row>
    <row r="68" spans="8:8">
      <c r="H68" s="39"/>
    </row>
    <row r="69" spans="8:8">
      <c r="H69" s="39"/>
    </row>
    <row r="70" spans="8:8">
      <c r="H70" s="39"/>
    </row>
    <row r="71" spans="8:8">
      <c r="H71" s="39"/>
    </row>
    <row r="72" spans="8:8">
      <c r="H72" s="39"/>
    </row>
    <row r="73" spans="8:8">
      <c r="H73" s="39"/>
    </row>
    <row r="74" spans="8:8">
      <c r="H74" s="39"/>
    </row>
    <row r="75" spans="8:8">
      <c r="H75" s="39"/>
    </row>
    <row r="76" spans="8:8">
      <c r="H76" s="39"/>
    </row>
    <row r="77" spans="8:8">
      <c r="H77" s="39"/>
    </row>
    <row r="78" spans="8:9">
      <c r="H78" s="39"/>
      <c r="I78" s="74">
        <f>SUM(H57:H78)</f>
        <v>0</v>
      </c>
    </row>
    <row r="79" spans="8:9">
      <c r="H79" s="39"/>
      <c r="I79" s="74">
        <f>I55-I78</f>
        <v>709311576.93</v>
      </c>
    </row>
  </sheetData>
  <autoFilter xmlns:etc="http://www.wps.cn/officeDocument/2017/etCustomData" ref="P1:P62" etc:filterBottomFollowUsedRange="0">
    <extLst/>
  </autoFilter>
  <mergeCells count="8">
    <mergeCell ref="D4:J4"/>
    <mergeCell ref="A4:A5"/>
    <mergeCell ref="B4:B5"/>
    <mergeCell ref="C4:C5"/>
    <mergeCell ref="L4:L5"/>
    <mergeCell ref="M4:M5"/>
    <mergeCell ref="N4:N5"/>
    <mergeCell ref="P4:P5"/>
  </mergeCells>
  <pageMargins left="0.7" right="0.7" top="0.75" bottom="0.75" header="0.3" footer="0.3"/>
  <pageSetup paperSize="1" orientation="portrait" horizontalDpi="360" verticalDpi="36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13</vt:i4>
      </vt:variant>
    </vt:vector>
  </HeadingPairs>
  <TitlesOfParts>
    <vt:vector size="13" baseType="lpstr">
      <vt:lpstr>REKAP SALES</vt:lpstr>
      <vt:lpstr>INV JANUARI</vt:lpstr>
      <vt:lpstr>INV FEBRUARI</vt:lpstr>
      <vt:lpstr>INV MARET</vt:lpstr>
      <vt:lpstr>INV APRIL</vt:lpstr>
      <vt:lpstr>INV MEI</vt:lpstr>
      <vt:lpstr>INV JUNI</vt:lpstr>
      <vt:lpstr>INV JULI</vt:lpstr>
      <vt:lpstr>INV AGUSTUS</vt:lpstr>
      <vt:lpstr>INV SEPTEMBER</vt:lpstr>
      <vt:lpstr>INV OKTOBER</vt:lpstr>
      <vt:lpstr>INV NOVEMBER</vt:lpstr>
      <vt:lpstr>INV DESEMBER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ENING</dc:creator>
  <cp:lastModifiedBy>macbook</cp:lastModifiedBy>
  <dcterms:created xsi:type="dcterms:W3CDTF">2011-12-25T17:41:00Z</dcterms:created>
  <cp:lastPrinted>2024-05-20T13:12:00Z</cp:lastPrinted>
  <dcterms:modified xsi:type="dcterms:W3CDTF">2026-01-26T04:41:34Z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CBE388826071D8530E8E7669C60EF93B_42</vt:lpwstr>
  </property>
  <property fmtid="{D5CDD505-2E9C-101B-9397-08002B2CF9AE}" pid="3" name="KSOProductBuildVer">
    <vt:lpwstr>1033-12.1.22226.22226</vt:lpwstr>
  </property>
</Properties>
</file>