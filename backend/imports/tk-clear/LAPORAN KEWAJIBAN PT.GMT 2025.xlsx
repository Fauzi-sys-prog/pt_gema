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ENING\Local Disk\Back Up\19. DATA PT. GMT PERKASA 2025\ACCOUNT\"/>
    </mc:Choice>
  </mc:AlternateContent>
  <xr:revisionPtr revIDLastSave="0" documentId="13_ncr:1_{49995582-347C-41AC-B23E-473B15FC3991}" xr6:coauthVersionLast="47" xr6:coauthVersionMax="47" xr10:uidLastSave="{00000000-0000-0000-0000-000000000000}"/>
  <bookViews>
    <workbookView xWindow="-120" yWindow="-120" windowWidth="29040" windowHeight="15720" firstSheet="4" activeTab="12" xr2:uid="{00000000-000D-0000-FFFF-FFFF00000000}"/>
  </bookViews>
  <sheets>
    <sheet name="REKAP HUTANG" sheetId="10" r:id="rId1"/>
    <sheet name="INV JANUARI" sheetId="9" r:id="rId2"/>
    <sheet name="INV FEBRUARI" sheetId="11" r:id="rId3"/>
    <sheet name="INV MARET" sheetId="12" r:id="rId4"/>
    <sheet name="INV APRIL" sheetId="13" r:id="rId5"/>
    <sheet name="INV MEI" sheetId="14" r:id="rId6"/>
    <sheet name="INV JUNI" sheetId="15" r:id="rId7"/>
    <sheet name="INV JULI" sheetId="16" r:id="rId8"/>
    <sheet name="INV AGUSTUS" sheetId="17" r:id="rId9"/>
    <sheet name="INV SEPTEMBER" sheetId="18" r:id="rId10"/>
    <sheet name="INV OKTOBER" sheetId="19" r:id="rId11"/>
    <sheet name="INV NOVEMBER" sheetId="20" r:id="rId12"/>
    <sheet name="INV DESEMBER" sheetId="21" r:id="rId13"/>
  </sheets>
  <definedNames>
    <definedName name="_xlnm._FilterDatabase" localSheetId="8" hidden="1">'INV AGUSTUS'!$A$5:$J$19</definedName>
    <definedName name="_xlnm._FilterDatabase" localSheetId="4" hidden="1">'INV APRIL'!$C$1:$C$34</definedName>
    <definedName name="_xlnm._FilterDatabase" localSheetId="12" hidden="1">'INV DESEMBER'!$P$1:$P$45</definedName>
    <definedName name="_xlnm._FilterDatabase" localSheetId="2" hidden="1">'INV FEBRUARI'!$C$1:$C$39</definedName>
    <definedName name="_xlnm._FilterDatabase" localSheetId="1" hidden="1">'INV JANUARI'!$P$1:$P$50</definedName>
    <definedName name="_xlnm._FilterDatabase" localSheetId="7" hidden="1">'INV JULI'!$Q$1:$Q$21</definedName>
    <definedName name="_xlnm._FilterDatabase" localSheetId="6" hidden="1">'INV JUNI'!$C$1:$C$27</definedName>
    <definedName name="_xlnm._FilterDatabase" localSheetId="3" hidden="1">'INV MARET'!$C$1:$C$32</definedName>
    <definedName name="_xlnm._FilterDatabase" localSheetId="5" hidden="1">'INV MEI'!$C$1:$C$21</definedName>
    <definedName name="_xlnm._FilterDatabase" localSheetId="11" hidden="1">'INV NOVEMBER'!$P$1:$P$46</definedName>
    <definedName name="_xlnm._FilterDatabase" localSheetId="10" hidden="1">'INV OKTOBER'!$P$1:$P$30</definedName>
    <definedName name="_xlnm._FilterDatabase" localSheetId="9" hidden="1">'INV SEPTEMBER'!$A$5:$J$19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21" l="1"/>
  <c r="N6" i="21"/>
  <c r="N11" i="20"/>
  <c r="G36" i="20"/>
  <c r="G35" i="20"/>
  <c r="G34" i="20"/>
  <c r="I9" i="21"/>
  <c r="I8" i="21"/>
  <c r="I7" i="21"/>
  <c r="H17" i="21"/>
  <c r="N9" i="20"/>
  <c r="N7" i="20"/>
  <c r="N18" i="19"/>
  <c r="N17" i="19"/>
  <c r="N16" i="19"/>
  <c r="N14" i="19"/>
  <c r="N10" i="19"/>
  <c r="N6" i="20"/>
  <c r="I11" i="20"/>
  <c r="N13" i="19"/>
  <c r="N9" i="19"/>
  <c r="N6" i="19"/>
  <c r="N8" i="20"/>
  <c r="I9" i="20"/>
  <c r="F8" i="20"/>
  <c r="I18" i="19" l="1"/>
  <c r="I15" i="19"/>
  <c r="N8" i="19"/>
  <c r="N12" i="19"/>
  <c r="N11" i="19"/>
  <c r="I10" i="19"/>
  <c r="I9" i="19"/>
  <c r="N7" i="19"/>
  <c r="N13" i="17"/>
  <c r="N11" i="17"/>
  <c r="N9" i="17"/>
  <c r="N8" i="17"/>
  <c r="N7" i="17"/>
  <c r="N14" i="17"/>
  <c r="O7" i="16"/>
  <c r="O16" i="16"/>
  <c r="O15" i="16"/>
  <c r="O9" i="16"/>
  <c r="O13" i="16"/>
  <c r="O14" i="16"/>
  <c r="H8" i="17"/>
  <c r="H9" i="17"/>
  <c r="I9" i="17" s="1"/>
  <c r="J9" i="17" s="1"/>
  <c r="P9" i="17" s="1"/>
  <c r="I10" i="17"/>
  <c r="J10" i="17" s="1"/>
  <c r="P10" i="17" s="1"/>
  <c r="H11" i="17"/>
  <c r="I11" i="17" s="1"/>
  <c r="J11" i="17" s="1"/>
  <c r="H12" i="17"/>
  <c r="I12" i="17"/>
  <c r="J12" i="17"/>
  <c r="H13" i="17"/>
  <c r="I13" i="17" s="1"/>
  <c r="J13" i="17" s="1"/>
  <c r="H14" i="17"/>
  <c r="I14" i="17"/>
  <c r="J14" i="17"/>
  <c r="H15" i="17"/>
  <c r="I15" i="17"/>
  <c r="J15" i="17"/>
  <c r="N15" i="17" s="1"/>
  <c r="P15" i="17" s="1"/>
  <c r="H16" i="17"/>
  <c r="J16" i="17" s="1"/>
  <c r="N16" i="17" s="1"/>
  <c r="I16" i="17"/>
  <c r="O19" i="16"/>
  <c r="H19" i="16"/>
  <c r="J19" i="16" s="1"/>
  <c r="N10" i="15"/>
  <c r="N9" i="15"/>
  <c r="O7" i="14"/>
  <c r="O6" i="14"/>
  <c r="H9" i="15"/>
  <c r="I9" i="15"/>
  <c r="J9" i="15"/>
  <c r="H10" i="15"/>
  <c r="H11" i="15"/>
  <c r="I11" i="15"/>
  <c r="J11" i="15"/>
  <c r="N11" i="15" s="1"/>
  <c r="H12" i="15"/>
  <c r="I12" i="15"/>
  <c r="J12" i="15" s="1"/>
  <c r="N12" i="15" s="1"/>
  <c r="H13" i="15"/>
  <c r="I13" i="15"/>
  <c r="J13" i="15"/>
  <c r="H14" i="15"/>
  <c r="I14" i="15"/>
  <c r="J14" i="15"/>
  <c r="P14" i="15" s="1"/>
  <c r="H15" i="15"/>
  <c r="I15" i="15"/>
  <c r="J15" i="15"/>
  <c r="N15" i="15" s="1"/>
  <c r="P15" i="15" s="1"/>
  <c r="H16" i="15"/>
  <c r="I16" i="15"/>
  <c r="J16" i="15"/>
  <c r="H17" i="15"/>
  <c r="I17" i="15"/>
  <c r="J17" i="15"/>
  <c r="N14" i="15"/>
  <c r="N17" i="15"/>
  <c r="P17" i="15" s="1"/>
  <c r="H25" i="13"/>
  <c r="H26" i="13"/>
  <c r="H35" i="13"/>
  <c r="H36" i="13" s="1"/>
  <c r="H34" i="13"/>
  <c r="H33" i="13"/>
  <c r="F10" i="13"/>
  <c r="F9" i="13"/>
  <c r="F8" i="13"/>
  <c r="F7" i="13"/>
  <c r="F6" i="13"/>
  <c r="F12" i="12"/>
  <c r="N13" i="11"/>
  <c r="N7" i="11"/>
  <c r="N28" i="11"/>
  <c r="N34" i="9"/>
  <c r="N32" i="9"/>
  <c r="N31" i="9"/>
  <c r="N30" i="9"/>
  <c r="N29" i="9"/>
  <c r="N28" i="9"/>
  <c r="N25" i="9"/>
  <c r="N22" i="9"/>
  <c r="N24" i="9"/>
  <c r="N33" i="9"/>
  <c r="N18" i="9"/>
  <c r="N12" i="9"/>
  <c r="N11" i="9"/>
  <c r="N10" i="9"/>
  <c r="N9" i="9"/>
  <c r="N8" i="9"/>
  <c r="N7" i="9"/>
  <c r="N6" i="9"/>
  <c r="N15" i="9"/>
  <c r="N14" i="9"/>
  <c r="N13" i="9"/>
  <c r="P13" i="17" l="1"/>
  <c r="P11" i="17"/>
  <c r="P14" i="17"/>
  <c r="N12" i="17"/>
  <c r="P12" i="17" s="1"/>
  <c r="P16" i="17"/>
  <c r="P9" i="15"/>
  <c r="N13" i="15"/>
  <c r="P13" i="15" s="1"/>
  <c r="I10" i="15"/>
  <c r="J10" i="15" s="1"/>
  <c r="N16" i="15"/>
  <c r="P16" i="15" s="1"/>
  <c r="P12" i="15"/>
  <c r="P11" i="15"/>
  <c r="I26" i="13"/>
  <c r="J26" i="13" s="1"/>
  <c r="J25" i="13"/>
  <c r="I25" i="13"/>
  <c r="P29" i="11"/>
  <c r="N21" i="11"/>
  <c r="N29" i="11"/>
  <c r="H21" i="11"/>
  <c r="I21" i="11"/>
  <c r="J21" i="11"/>
  <c r="P21" i="11" s="1"/>
  <c r="H22" i="11"/>
  <c r="I22" i="11"/>
  <c r="J22" i="11"/>
  <c r="P22" i="11" s="1"/>
  <c r="H23" i="11"/>
  <c r="I23" i="11"/>
  <c r="J23" i="11"/>
  <c r="H24" i="11"/>
  <c r="I24" i="11"/>
  <c r="J24" i="11"/>
  <c r="H25" i="11"/>
  <c r="I25" i="11" s="1"/>
  <c r="H26" i="11"/>
  <c r="I26" i="11"/>
  <c r="J26" i="11"/>
  <c r="H27" i="11"/>
  <c r="I27" i="11" s="1"/>
  <c r="H28" i="11"/>
  <c r="I28" i="11"/>
  <c r="J28" i="11"/>
  <c r="H29" i="11"/>
  <c r="I29" i="11"/>
  <c r="J29" i="11"/>
  <c r="F20" i="11"/>
  <c r="H20" i="11" s="1"/>
  <c r="H31" i="11"/>
  <c r="H30" i="11"/>
  <c r="H19" i="11"/>
  <c r="H18" i="11"/>
  <c r="I18" i="11" s="1"/>
  <c r="J18" i="11" s="1"/>
  <c r="N18" i="11" s="1"/>
  <c r="H16" i="11"/>
  <c r="F32" i="9"/>
  <c r="D32" i="9"/>
  <c r="P10" i="15" l="1"/>
  <c r="O26" i="13"/>
  <c r="Q26" i="13" s="1"/>
  <c r="O25" i="13"/>
  <c r="Q25" i="13" s="1"/>
  <c r="P28" i="11"/>
  <c r="J27" i="11"/>
  <c r="P26" i="11"/>
  <c r="N26" i="11"/>
  <c r="J25" i="11"/>
  <c r="P24" i="11"/>
  <c r="P23" i="11"/>
  <c r="P18" i="11"/>
  <c r="I31" i="11"/>
  <c r="J31" i="11" s="1"/>
  <c r="P31" i="11" s="1"/>
  <c r="I30" i="11"/>
  <c r="J30" i="11" s="1"/>
  <c r="P30" i="11" s="1"/>
  <c r="I20" i="11"/>
  <c r="J20" i="11" s="1"/>
  <c r="I19" i="11"/>
  <c r="J19" i="11" s="1"/>
  <c r="N16" i="9"/>
  <c r="H41" i="9"/>
  <c r="N37" i="9"/>
  <c r="H28" i="9"/>
  <c r="I28" i="9"/>
  <c r="J28" i="9"/>
  <c r="H29" i="9"/>
  <c r="I29" i="9"/>
  <c r="J29" i="9"/>
  <c r="P29" i="9" s="1"/>
  <c r="H30" i="9"/>
  <c r="J30" i="9" s="1"/>
  <c r="I30" i="9"/>
  <c r="H31" i="9"/>
  <c r="J31" i="9" s="1"/>
  <c r="I31" i="9"/>
  <c r="H32" i="9"/>
  <c r="J32" i="9" s="1"/>
  <c r="I32" i="9"/>
  <c r="H33" i="9"/>
  <c r="I33" i="9"/>
  <c r="J33" i="9"/>
  <c r="P33" i="9" s="1"/>
  <c r="H34" i="9"/>
  <c r="I34" i="9"/>
  <c r="J34" i="9"/>
  <c r="H35" i="9"/>
  <c r="H36" i="9"/>
  <c r="I36" i="9" s="1"/>
  <c r="H37" i="9"/>
  <c r="J37" i="9"/>
  <c r="H38" i="9"/>
  <c r="I38" i="9"/>
  <c r="J38" i="9"/>
  <c r="H40" i="9"/>
  <c r="H39" i="9"/>
  <c r="H27" i="9"/>
  <c r="H26" i="9"/>
  <c r="F25" i="9"/>
  <c r="F16" i="9"/>
  <c r="D16" i="9"/>
  <c r="H16" i="9" s="1"/>
  <c r="I16" i="9" s="1"/>
  <c r="H9" i="9"/>
  <c r="I9" i="9" s="1"/>
  <c r="H10" i="9"/>
  <c r="H11" i="9"/>
  <c r="H12" i="9"/>
  <c r="I12" i="9" s="1"/>
  <c r="H13" i="9"/>
  <c r="H14" i="9"/>
  <c r="I14" i="9" s="1"/>
  <c r="J14" i="9" s="1"/>
  <c r="P14" i="9" s="1"/>
  <c r="H15" i="9"/>
  <c r="H8" i="9"/>
  <c r="I8" i="9" s="1"/>
  <c r="H7" i="9"/>
  <c r="I7" i="9" s="1"/>
  <c r="P27" i="11" l="1"/>
  <c r="P25" i="11"/>
  <c r="N20" i="11"/>
  <c r="P20" i="11" s="1"/>
  <c r="N19" i="11"/>
  <c r="P19" i="11" s="1"/>
  <c r="P37" i="9"/>
  <c r="J36" i="9"/>
  <c r="J35" i="9"/>
  <c r="P34" i="9"/>
  <c r="P32" i="9"/>
  <c r="P31" i="9"/>
  <c r="P30" i="9"/>
  <c r="P28" i="9"/>
  <c r="I40" i="9"/>
  <c r="J40" i="9" s="1"/>
  <c r="P40" i="9" s="1"/>
  <c r="I39" i="9"/>
  <c r="J39" i="9" s="1"/>
  <c r="P39" i="9" s="1"/>
  <c r="P38" i="9"/>
  <c r="I27" i="9"/>
  <c r="J27" i="9" s="1"/>
  <c r="I26" i="9"/>
  <c r="J26" i="9" s="1"/>
  <c r="P26" i="9" s="1"/>
  <c r="J7" i="9"/>
  <c r="P7" i="9" s="1"/>
  <c r="I13" i="9"/>
  <c r="J13" i="9" s="1"/>
  <c r="P13" i="9" s="1"/>
  <c r="J8" i="9"/>
  <c r="P8" i="9" s="1"/>
  <c r="I10" i="9"/>
  <c r="J10" i="9" s="1"/>
  <c r="P10" i="9" s="1"/>
  <c r="J9" i="9"/>
  <c r="P9" i="9" s="1"/>
  <c r="I11" i="9"/>
  <c r="J11" i="9" s="1"/>
  <c r="P11" i="9" s="1"/>
  <c r="J12" i="9"/>
  <c r="P12" i="9" s="1"/>
  <c r="I15" i="9"/>
  <c r="J15" i="9" s="1"/>
  <c r="P15" i="9" s="1"/>
  <c r="J16" i="9"/>
  <c r="P16" i="9" s="1"/>
  <c r="Q13" i="9" l="1"/>
  <c r="N36" i="9"/>
  <c r="P36" i="9" s="1"/>
  <c r="N35" i="9"/>
  <c r="P35" i="9" s="1"/>
  <c r="N27" i="9"/>
  <c r="P27" i="9" s="1"/>
  <c r="H14" i="18"/>
  <c r="J14" i="18" s="1"/>
  <c r="N14" i="18" s="1"/>
  <c r="H11" i="18"/>
  <c r="H12" i="18"/>
  <c r="I12" i="18" s="1"/>
  <c r="J12" i="18" s="1"/>
  <c r="N12" i="18" s="1"/>
  <c r="H13" i="18"/>
  <c r="I13" i="18" s="1"/>
  <c r="J13" i="18" s="1"/>
  <c r="N13" i="18" s="1"/>
  <c r="H15" i="18"/>
  <c r="I15" i="18" s="1"/>
  <c r="J15" i="18" s="1"/>
  <c r="H16" i="18"/>
  <c r="I16" i="18" s="1"/>
  <c r="J16" i="18" s="1"/>
  <c r="I11" i="18" l="1"/>
  <c r="J11" i="18" s="1"/>
  <c r="N16" i="18"/>
  <c r="P16" i="18" s="1"/>
  <c r="P15" i="18"/>
  <c r="P14" i="18"/>
  <c r="P13" i="18"/>
  <c r="P12" i="18"/>
  <c r="N11" i="18" l="1"/>
  <c r="P11" i="18"/>
  <c r="H14" i="13"/>
  <c r="I14" i="13" s="1"/>
  <c r="J14" i="13" s="1"/>
  <c r="O14" i="13" s="1"/>
  <c r="H15" i="13"/>
  <c r="H16" i="13"/>
  <c r="I16" i="13" s="1"/>
  <c r="H17" i="13"/>
  <c r="I17" i="13" s="1"/>
  <c r="H18" i="13"/>
  <c r="I18" i="13" s="1"/>
  <c r="H19" i="13"/>
  <c r="I19" i="13"/>
  <c r="H20" i="13"/>
  <c r="J20" i="13" s="1"/>
  <c r="Q20" i="13" s="1"/>
  <c r="I20" i="13"/>
  <c r="H21" i="13"/>
  <c r="I21" i="13"/>
  <c r="J21" i="13" s="1"/>
  <c r="H22" i="13"/>
  <c r="I22" i="13" s="1"/>
  <c r="H23" i="13"/>
  <c r="I23" i="13"/>
  <c r="H12" i="13"/>
  <c r="H13" i="13"/>
  <c r="I13" i="13" s="1"/>
  <c r="H11" i="13"/>
  <c r="I11" i="13" s="1"/>
  <c r="H10" i="13"/>
  <c r="I10" i="13" s="1"/>
  <c r="H9" i="13"/>
  <c r="I9" i="13" s="1"/>
  <c r="H8" i="13"/>
  <c r="I8" i="13" s="1"/>
  <c r="P14" i="12"/>
  <c r="P19" i="12"/>
  <c r="P20" i="12"/>
  <c r="P21" i="12"/>
  <c r="P22" i="12"/>
  <c r="P23" i="12"/>
  <c r="H14" i="12"/>
  <c r="I14" i="12"/>
  <c r="J14" i="12"/>
  <c r="N14" i="12" s="1"/>
  <c r="H15" i="12"/>
  <c r="I15" i="12" s="1"/>
  <c r="H16" i="12"/>
  <c r="I16" i="12"/>
  <c r="J16" i="12"/>
  <c r="H17" i="12"/>
  <c r="I17" i="12"/>
  <c r="J17" i="12"/>
  <c r="H18" i="12"/>
  <c r="I18" i="12"/>
  <c r="J18" i="12"/>
  <c r="H19" i="12"/>
  <c r="I19" i="12" s="1"/>
  <c r="H20" i="12"/>
  <c r="I20" i="12"/>
  <c r="J20" i="12"/>
  <c r="H21" i="12"/>
  <c r="I21" i="12"/>
  <c r="J21" i="12"/>
  <c r="H22" i="12"/>
  <c r="I22" i="12"/>
  <c r="J22" i="12"/>
  <c r="H23" i="12"/>
  <c r="I23" i="12" s="1"/>
  <c r="P25" i="21"/>
  <c r="P26" i="21"/>
  <c r="P27" i="21"/>
  <c r="P28" i="21"/>
  <c r="P29" i="21"/>
  <c r="P30" i="21"/>
  <c r="N25" i="21"/>
  <c r="N26" i="21"/>
  <c r="N27" i="21"/>
  <c r="N28" i="21"/>
  <c r="N29" i="21"/>
  <c r="N30" i="21"/>
  <c r="H7" i="21"/>
  <c r="J7" i="21" s="1"/>
  <c r="H8" i="21"/>
  <c r="J8" i="21" s="1"/>
  <c r="H9" i="21"/>
  <c r="H10" i="21"/>
  <c r="I10" i="21" s="1"/>
  <c r="H11" i="21"/>
  <c r="H12" i="21"/>
  <c r="I12" i="21" s="1"/>
  <c r="H13" i="21"/>
  <c r="I13" i="21" s="1"/>
  <c r="J13" i="21" s="1"/>
  <c r="H14" i="21"/>
  <c r="I14" i="21"/>
  <c r="J14" i="21" s="1"/>
  <c r="H15" i="21"/>
  <c r="I15" i="21"/>
  <c r="J15" i="21" s="1"/>
  <c r="P15" i="21" s="1"/>
  <c r="H16" i="21"/>
  <c r="I16" i="21"/>
  <c r="J16" i="21" s="1"/>
  <c r="I17" i="21"/>
  <c r="H18" i="21"/>
  <c r="I18" i="21"/>
  <c r="J18" i="21"/>
  <c r="H19" i="21"/>
  <c r="I19" i="21" s="1"/>
  <c r="J19" i="21" s="1"/>
  <c r="H20" i="21"/>
  <c r="I20" i="21" s="1"/>
  <c r="H21" i="21"/>
  <c r="J21" i="21"/>
  <c r="H22" i="21"/>
  <c r="J22" i="21"/>
  <c r="H23" i="21"/>
  <c r="I23" i="21" s="1"/>
  <c r="H24" i="21"/>
  <c r="H25" i="21"/>
  <c r="I25" i="21"/>
  <c r="J25" i="21"/>
  <c r="H26" i="21"/>
  <c r="I26" i="21"/>
  <c r="J26" i="21"/>
  <c r="H27" i="21"/>
  <c r="I27" i="21"/>
  <c r="J27" i="21"/>
  <c r="H28" i="21"/>
  <c r="I28" i="21"/>
  <c r="J28" i="21"/>
  <c r="H29" i="21"/>
  <c r="I29" i="21"/>
  <c r="J29" i="21"/>
  <c r="H30" i="21"/>
  <c r="I30" i="21"/>
  <c r="J30" i="21"/>
  <c r="H31" i="21"/>
  <c r="I31" i="21"/>
  <c r="J31" i="21"/>
  <c r="H15" i="20"/>
  <c r="I15" i="20" s="1"/>
  <c r="H16" i="20"/>
  <c r="I16" i="20" s="1"/>
  <c r="H17" i="20"/>
  <c r="I17" i="20" s="1"/>
  <c r="H18" i="20"/>
  <c r="I18" i="20" s="1"/>
  <c r="H19" i="20"/>
  <c r="I19" i="20"/>
  <c r="H20" i="20"/>
  <c r="H21" i="20"/>
  <c r="I21" i="20" s="1"/>
  <c r="J21" i="20" s="1"/>
  <c r="H22" i="20"/>
  <c r="I22" i="20" s="1"/>
  <c r="H23" i="20"/>
  <c r="I23" i="20" s="1"/>
  <c r="H24" i="20"/>
  <c r="I24" i="20"/>
  <c r="H25" i="20"/>
  <c r="I25" i="20" s="1"/>
  <c r="J25" i="20" s="1"/>
  <c r="N25" i="20" s="1"/>
  <c r="H20" i="19"/>
  <c r="I20" i="19" s="1"/>
  <c r="J20" i="19"/>
  <c r="H21" i="19"/>
  <c r="I21" i="19" s="1"/>
  <c r="J21" i="19" s="1"/>
  <c r="H22" i="19"/>
  <c r="I22" i="19" s="1"/>
  <c r="H23" i="19"/>
  <c r="I23" i="19" s="1"/>
  <c r="J23" i="19" s="1"/>
  <c r="H19" i="19"/>
  <c r="I19" i="19" s="1"/>
  <c r="J19" i="19" s="1"/>
  <c r="H18" i="19"/>
  <c r="H13" i="19"/>
  <c r="I13" i="19" s="1"/>
  <c r="J13" i="19" s="1"/>
  <c r="H14" i="19"/>
  <c r="I14" i="19" s="1"/>
  <c r="H15" i="19"/>
  <c r="J15" i="19" s="1"/>
  <c r="N15" i="19" s="1"/>
  <c r="H16" i="19"/>
  <c r="I16" i="19" s="1"/>
  <c r="J16" i="19" s="1"/>
  <c r="H11" i="19"/>
  <c r="H12" i="19"/>
  <c r="I12" i="19" s="1"/>
  <c r="H17" i="19"/>
  <c r="I17" i="19" s="1"/>
  <c r="H24" i="19"/>
  <c r="I24" i="19" s="1"/>
  <c r="H25" i="19"/>
  <c r="I25" i="19" s="1"/>
  <c r="H26" i="19"/>
  <c r="I26" i="19" s="1"/>
  <c r="H27" i="19"/>
  <c r="I27" i="19" s="1"/>
  <c r="J17" i="20" l="1"/>
  <c r="P17" i="20" s="1"/>
  <c r="I11" i="21"/>
  <c r="J11" i="21" s="1"/>
  <c r="P11" i="21" s="1"/>
  <c r="J23" i="13"/>
  <c r="O23" i="13" s="1"/>
  <c r="Q23" i="13" s="1"/>
  <c r="J19" i="13"/>
  <c r="P14" i="21"/>
  <c r="N23" i="19"/>
  <c r="P23" i="19" s="1"/>
  <c r="J22" i="13"/>
  <c r="Q21" i="13"/>
  <c r="Q19" i="13"/>
  <c r="J18" i="13"/>
  <c r="Q14" i="13"/>
  <c r="N16" i="12"/>
  <c r="P16" i="12" s="1"/>
  <c r="N18" i="12"/>
  <c r="P18" i="12" s="1"/>
  <c r="N17" i="12"/>
  <c r="P17" i="12" s="1"/>
  <c r="J16" i="20"/>
  <c r="P16" i="20" s="1"/>
  <c r="P8" i="21"/>
  <c r="J18" i="19"/>
  <c r="P18" i="19" s="1"/>
  <c r="J17" i="13"/>
  <c r="J16" i="13"/>
  <c r="I15" i="13"/>
  <c r="J15" i="13" s="1"/>
  <c r="O15" i="13" s="1"/>
  <c r="J13" i="13"/>
  <c r="J8" i="13"/>
  <c r="J9" i="13"/>
  <c r="J10" i="13"/>
  <c r="J11" i="13"/>
  <c r="J23" i="12"/>
  <c r="J19" i="12"/>
  <c r="J15" i="12"/>
  <c r="J10" i="21"/>
  <c r="P10" i="21" s="1"/>
  <c r="J24" i="20"/>
  <c r="P13" i="19"/>
  <c r="P21" i="19"/>
  <c r="P15" i="19"/>
  <c r="P20" i="19"/>
  <c r="P19" i="19"/>
  <c r="P16" i="19"/>
  <c r="I24" i="21"/>
  <c r="J24" i="21" s="1"/>
  <c r="J23" i="21"/>
  <c r="P22" i="21"/>
  <c r="P21" i="21"/>
  <c r="J20" i="21"/>
  <c r="P19" i="21"/>
  <c r="N18" i="21"/>
  <c r="P18" i="21" s="1"/>
  <c r="J17" i="21"/>
  <c r="N17" i="21" s="1"/>
  <c r="P16" i="21"/>
  <c r="P13" i="21"/>
  <c r="J12" i="21"/>
  <c r="J9" i="21"/>
  <c r="P7" i="21"/>
  <c r="N24" i="20"/>
  <c r="P24" i="20"/>
  <c r="P25" i="20"/>
  <c r="N21" i="20"/>
  <c r="P21" i="20" s="1"/>
  <c r="J23" i="20"/>
  <c r="P23" i="20" s="1"/>
  <c r="J20" i="20"/>
  <c r="J19" i="20"/>
  <c r="P19" i="20" s="1"/>
  <c r="J15" i="20"/>
  <c r="J18" i="20"/>
  <c r="P18" i="20" s="1"/>
  <c r="J22" i="20"/>
  <c r="P22" i="20" s="1"/>
  <c r="J22" i="19"/>
  <c r="J14" i="19"/>
  <c r="H7" i="18"/>
  <c r="I7" i="18" l="1"/>
  <c r="J7" i="18" s="1"/>
  <c r="Q22" i="13"/>
  <c r="O18" i="13"/>
  <c r="Q18" i="13" s="1"/>
  <c r="N15" i="12"/>
  <c r="P15" i="12" s="1"/>
  <c r="O17" i="13"/>
  <c r="Q17" i="13" s="1"/>
  <c r="Q16" i="13"/>
  <c r="Q15" i="13"/>
  <c r="Q13" i="13"/>
  <c r="P15" i="20"/>
  <c r="P14" i="19"/>
  <c r="N22" i="19"/>
  <c r="P22" i="19" s="1"/>
  <c r="P24" i="21"/>
  <c r="P23" i="21"/>
  <c r="P20" i="21"/>
  <c r="P17" i="21"/>
  <c r="P12" i="21"/>
  <c r="P9" i="21"/>
  <c r="N20" i="20"/>
  <c r="P20" i="20" s="1"/>
  <c r="N7" i="18" l="1"/>
  <c r="P7" i="18"/>
  <c r="H18" i="16"/>
  <c r="I18" i="16" l="1"/>
  <c r="J18" i="16" s="1"/>
  <c r="O18" i="16" s="1"/>
  <c r="H8" i="14"/>
  <c r="I8" i="14" s="1"/>
  <c r="J8" i="14" s="1"/>
  <c r="O8" i="14" s="1"/>
  <c r="H9" i="14"/>
  <c r="I9" i="14"/>
  <c r="J9" i="14" s="1"/>
  <c r="O9" i="14" s="1"/>
  <c r="H10" i="14"/>
  <c r="I10" i="14" s="1"/>
  <c r="J10" i="14" s="1"/>
  <c r="O10" i="14" s="1"/>
  <c r="H11" i="14"/>
  <c r="I11" i="14" s="1"/>
  <c r="J11" i="14" s="1"/>
  <c r="O11" i="14" s="1"/>
  <c r="H12" i="14"/>
  <c r="I12" i="14" s="1"/>
  <c r="J12" i="14" s="1"/>
  <c r="H13" i="14"/>
  <c r="I13" i="14" s="1"/>
  <c r="J13" i="14" s="1"/>
  <c r="H14" i="14"/>
  <c r="J14" i="14" s="1"/>
  <c r="O14" i="14" s="1"/>
  <c r="H15" i="14"/>
  <c r="I15" i="14" s="1"/>
  <c r="J15" i="14" s="1"/>
  <c r="O15" i="14" s="1"/>
  <c r="H16" i="14"/>
  <c r="I16" i="14" s="1"/>
  <c r="J16" i="14" s="1"/>
  <c r="O16" i="14" s="1"/>
  <c r="H17" i="14"/>
  <c r="J17" i="14" s="1"/>
  <c r="Q12" i="14" l="1"/>
  <c r="O12" i="14"/>
  <c r="Q14" i="14"/>
  <c r="O17" i="14"/>
  <c r="Q17" i="14" s="1"/>
  <c r="Q9" i="14"/>
  <c r="Q15" i="14"/>
  <c r="Q11" i="14"/>
  <c r="Q16" i="14"/>
  <c r="O13" i="14"/>
  <c r="Q13" i="14" s="1"/>
  <c r="Q8" i="14"/>
  <c r="Q10" i="14"/>
  <c r="J2" i="14"/>
  <c r="H24" i="9"/>
  <c r="J24" i="9" s="1"/>
  <c r="H25" i="9"/>
  <c r="I25" i="9" s="1"/>
  <c r="J25" i="9" s="1"/>
  <c r="P25" i="9" s="1"/>
  <c r="J41" i="9"/>
  <c r="P41" i="9" l="1"/>
  <c r="P24" i="9"/>
  <c r="H42" i="9" l="1"/>
  <c r="I42" i="9" s="1"/>
  <c r="J42" i="9" s="1"/>
  <c r="N42" i="9" l="1"/>
  <c r="P42" i="9" s="1"/>
  <c r="H32" i="11" l="1"/>
  <c r="I32" i="11" s="1"/>
  <c r="J32" i="11" l="1"/>
  <c r="N32" i="11" s="1"/>
  <c r="P32" i="11" s="1"/>
  <c r="H15" i="11"/>
  <c r="H17" i="11"/>
  <c r="I17" i="11" l="1"/>
  <c r="J17" i="11" s="1"/>
  <c r="P17" i="11" s="1"/>
  <c r="I16" i="11"/>
  <c r="J16" i="11" s="1"/>
  <c r="N16" i="11" s="1"/>
  <c r="P16" i="11" s="1"/>
  <c r="I15" i="11"/>
  <c r="J15" i="11" s="1"/>
  <c r="N15" i="11" l="1"/>
  <c r="P15" i="11" s="1"/>
  <c r="M33" i="21"/>
  <c r="M32" i="21"/>
  <c r="H13" i="20" l="1"/>
  <c r="H14" i="20"/>
  <c r="I14" i="20" s="1"/>
  <c r="J14" i="20" s="1"/>
  <c r="H26" i="20"/>
  <c r="H27" i="20"/>
  <c r="I27" i="20" s="1"/>
  <c r="J27" i="20" s="1"/>
  <c r="I13" i="20" l="1"/>
  <c r="J13" i="20" s="1"/>
  <c r="P13" i="20" s="1"/>
  <c r="I26" i="20"/>
  <c r="J26" i="20" s="1"/>
  <c r="N27" i="20"/>
  <c r="P27" i="20" s="1"/>
  <c r="P14" i="20"/>
  <c r="H7" i="20"/>
  <c r="I7" i="20" s="1"/>
  <c r="H8" i="20"/>
  <c r="I8" i="20" s="1"/>
  <c r="H9" i="20"/>
  <c r="H10" i="20"/>
  <c r="I10" i="20" s="1"/>
  <c r="H11" i="20"/>
  <c r="H12" i="20"/>
  <c r="H28" i="20"/>
  <c r="I28" i="20" s="1"/>
  <c r="N26" i="20" l="1"/>
  <c r="P26" i="20" s="1"/>
  <c r="H8" i="15" l="1"/>
  <c r="H18" i="15"/>
  <c r="H19" i="15"/>
  <c r="I19" i="15" l="1"/>
  <c r="J19" i="15" s="1"/>
  <c r="I18" i="15"/>
  <c r="J18" i="15" s="1"/>
  <c r="N18" i="15" s="1"/>
  <c r="I8" i="15"/>
  <c r="J8" i="15" s="1"/>
  <c r="N8" i="15" s="1"/>
  <c r="P8" i="15" l="1"/>
  <c r="P18" i="15"/>
  <c r="N19" i="15"/>
  <c r="P19" i="15" s="1"/>
  <c r="H28" i="12"/>
  <c r="I28" i="12" s="1"/>
  <c r="J28" i="12" l="1"/>
  <c r="H24" i="12"/>
  <c r="I24" i="12" s="1"/>
  <c r="H25" i="12"/>
  <c r="I25" i="12" s="1"/>
  <c r="H26" i="12"/>
  <c r="I26" i="12" s="1"/>
  <c r="H27" i="12"/>
  <c r="I27" i="12" s="1"/>
  <c r="J26" i="12" l="1"/>
  <c r="P26" i="12" s="1"/>
  <c r="N28" i="12"/>
  <c r="P28" i="12" s="1"/>
  <c r="J24" i="12"/>
  <c r="J27" i="12"/>
  <c r="J25" i="12"/>
  <c r="N25" i="12" l="1"/>
  <c r="P25" i="12" s="1"/>
  <c r="P27" i="12"/>
  <c r="N24" i="12"/>
  <c r="P24" i="12" s="1"/>
  <c r="H8" i="11"/>
  <c r="I8" i="11" s="1"/>
  <c r="H9" i="11"/>
  <c r="H10" i="11"/>
  <c r="H11" i="11"/>
  <c r="I11" i="11" s="1"/>
  <c r="H12" i="11"/>
  <c r="I12" i="11" s="1"/>
  <c r="H13" i="11"/>
  <c r="I13" i="11" s="1"/>
  <c r="H14" i="11"/>
  <c r="I14" i="11" s="1"/>
  <c r="J8" i="11" l="1"/>
  <c r="J14" i="11"/>
  <c r="N14" i="11" s="1"/>
  <c r="J13" i="11"/>
  <c r="J12" i="11"/>
  <c r="N12" i="11" s="1"/>
  <c r="J11" i="11"/>
  <c r="N11" i="11" s="1"/>
  <c r="J10" i="11"/>
  <c r="N10" i="11" s="1"/>
  <c r="J9" i="11"/>
  <c r="N9" i="11" l="1"/>
  <c r="P9" i="11" s="1"/>
  <c r="N8" i="11"/>
  <c r="P8" i="11" s="1"/>
  <c r="P14" i="11"/>
  <c r="P13" i="11"/>
  <c r="P12" i="11"/>
  <c r="P11" i="11"/>
  <c r="P10" i="11"/>
  <c r="H23" i="9"/>
  <c r="J23" i="9" l="1"/>
  <c r="N23" i="9" s="1"/>
  <c r="H6" i="21"/>
  <c r="I6" i="21" s="1"/>
  <c r="P23" i="9" l="1"/>
  <c r="J6" i="21"/>
  <c r="J25" i="19" l="1"/>
  <c r="N25" i="19" s="1"/>
  <c r="P25" i="19" s="1"/>
  <c r="J17" i="19"/>
  <c r="J27" i="19"/>
  <c r="J26" i="19"/>
  <c r="J24" i="19"/>
  <c r="F19" i="18"/>
  <c r="F16" i="10" s="1"/>
  <c r="P17" i="19" l="1"/>
  <c r="N26" i="19"/>
  <c r="P26" i="19" s="1"/>
  <c r="N24" i="19"/>
  <c r="P24" i="19" s="1"/>
  <c r="M20" i="15" l="1"/>
  <c r="M18" i="14" l="1"/>
  <c r="H18" i="14"/>
  <c r="M7" i="14"/>
  <c r="V19" i="14"/>
  <c r="H11" i="12"/>
  <c r="I18" i="14" l="1"/>
  <c r="J18" i="14" s="1"/>
  <c r="O18" i="14" s="1"/>
  <c r="J11" i="12"/>
  <c r="P11" i="12" l="1"/>
  <c r="Q18" i="14"/>
  <c r="M7" i="19" l="1"/>
  <c r="S19" i="17" l="1"/>
  <c r="R19" i="17"/>
  <c r="T21" i="16"/>
  <c r="N21" i="16"/>
  <c r="U17" i="17"/>
  <c r="S21" i="16"/>
  <c r="Q10" i="13" l="1"/>
  <c r="U34" i="11" l="1"/>
  <c r="M29" i="12"/>
  <c r="U30" i="12" l="1"/>
  <c r="M30" i="12"/>
  <c r="U35" i="11"/>
  <c r="N28" i="13"/>
  <c r="M27" i="13"/>
  <c r="U9" i="19"/>
  <c r="U31" i="12" l="1"/>
  <c r="V28" i="13"/>
  <c r="M28" i="13"/>
  <c r="V15" i="16"/>
  <c r="V16" i="16"/>
  <c r="V29" i="13" l="1"/>
  <c r="N19" i="14"/>
  <c r="M21" i="16" l="1"/>
  <c r="V10" i="16"/>
  <c r="V21" i="16" s="1"/>
  <c r="U29" i="20"/>
  <c r="V22" i="16" l="1"/>
  <c r="H7" i="16"/>
  <c r="I7" i="16" s="1"/>
  <c r="M21" i="15"/>
  <c r="M19" i="17"/>
  <c r="M19" i="18"/>
  <c r="M38" i="21"/>
  <c r="J7" i="16" l="1"/>
  <c r="M19" i="14"/>
  <c r="V20" i="14" s="1"/>
  <c r="H20" i="9"/>
  <c r="Q7" i="16" l="1"/>
  <c r="M6" i="20"/>
  <c r="G38" i="21"/>
  <c r="G19" i="10" s="1"/>
  <c r="F38" i="21"/>
  <c r="F19" i="10" s="1"/>
  <c r="E38" i="21"/>
  <c r="E19" i="10" s="1"/>
  <c r="D38" i="21"/>
  <c r="D19" i="10" s="1"/>
  <c r="H37" i="21"/>
  <c r="J28" i="20"/>
  <c r="G28" i="19"/>
  <c r="G17" i="10" s="1"/>
  <c r="F28" i="19"/>
  <c r="F17" i="10" s="1"/>
  <c r="E28" i="19"/>
  <c r="E17" i="10" s="1"/>
  <c r="D28" i="19"/>
  <c r="D17" i="10" s="1"/>
  <c r="H7" i="19"/>
  <c r="I7" i="19" s="1"/>
  <c r="H8" i="19"/>
  <c r="H9" i="19"/>
  <c r="H10" i="19"/>
  <c r="I11" i="19"/>
  <c r="H6" i="19"/>
  <c r="I6" i="19" s="1"/>
  <c r="H8" i="18"/>
  <c r="I8" i="18" s="1"/>
  <c r="H9" i="18"/>
  <c r="I9" i="18" s="1"/>
  <c r="H10" i="18"/>
  <c r="I10" i="18" s="1"/>
  <c r="H17" i="18"/>
  <c r="I17" i="18" s="1"/>
  <c r="H18" i="18"/>
  <c r="I18" i="18" s="1"/>
  <c r="G19" i="18"/>
  <c r="G16" i="10" s="1"/>
  <c r="E19" i="18"/>
  <c r="E16" i="10" s="1"/>
  <c r="D19" i="18"/>
  <c r="D16" i="10" s="1"/>
  <c r="H7" i="17"/>
  <c r="I7" i="17" s="1"/>
  <c r="I8" i="17"/>
  <c r="H17" i="17"/>
  <c r="I17" i="17" s="1"/>
  <c r="H18" i="17"/>
  <c r="I18" i="17" s="1"/>
  <c r="G19" i="17"/>
  <c r="G15" i="10" s="1"/>
  <c r="F19" i="17"/>
  <c r="F15" i="10" s="1"/>
  <c r="E19" i="17"/>
  <c r="E15" i="10" s="1"/>
  <c r="D19" i="17"/>
  <c r="D15" i="10" s="1"/>
  <c r="G21" i="16"/>
  <c r="G14" i="10" s="1"/>
  <c r="H20" i="16"/>
  <c r="I20" i="16" s="1"/>
  <c r="H17" i="16"/>
  <c r="I17" i="16" s="1"/>
  <c r="H16" i="16"/>
  <c r="I16" i="16" s="1"/>
  <c r="H15" i="16"/>
  <c r="I15" i="16" s="1"/>
  <c r="H14" i="16"/>
  <c r="H13" i="16"/>
  <c r="I13" i="16" s="1"/>
  <c r="H12" i="16"/>
  <c r="I12" i="16" s="1"/>
  <c r="H11" i="16"/>
  <c r="I11" i="16" s="1"/>
  <c r="H10" i="16"/>
  <c r="I10" i="16" s="1"/>
  <c r="H9" i="16"/>
  <c r="I9" i="16" s="1"/>
  <c r="H8" i="16"/>
  <c r="I8" i="16" s="1"/>
  <c r="H6" i="16"/>
  <c r="I6" i="16" s="1"/>
  <c r="G21" i="15"/>
  <c r="G13" i="10" s="1"/>
  <c r="F21" i="15"/>
  <c r="F13" i="10" s="1"/>
  <c r="E21" i="15"/>
  <c r="E13" i="10" s="1"/>
  <c r="D21" i="15"/>
  <c r="D13" i="10" s="1"/>
  <c r="H7" i="15"/>
  <c r="I7" i="15" s="1"/>
  <c r="H20" i="15"/>
  <c r="H6" i="15"/>
  <c r="I6" i="15" s="1"/>
  <c r="I37" i="21" l="1"/>
  <c r="J37" i="21" s="1"/>
  <c r="N37" i="21" s="1"/>
  <c r="H19" i="18"/>
  <c r="I20" i="15"/>
  <c r="J20" i="15" s="1"/>
  <c r="N20" i="15" s="1"/>
  <c r="P20" i="15" s="1"/>
  <c r="N28" i="20"/>
  <c r="P28" i="20" s="1"/>
  <c r="H16" i="10"/>
  <c r="H17" i="10"/>
  <c r="H21" i="15"/>
  <c r="J7" i="15"/>
  <c r="N7" i="15" s="1"/>
  <c r="J18" i="17"/>
  <c r="J17" i="17"/>
  <c r="J8" i="17"/>
  <c r="J7" i="17"/>
  <c r="H19" i="17"/>
  <c r="M29" i="20"/>
  <c r="U30" i="20" s="1"/>
  <c r="J17" i="18"/>
  <c r="P17" i="18" s="1"/>
  <c r="J9" i="18"/>
  <c r="N9" i="18" s="1"/>
  <c r="J18" i="18"/>
  <c r="P18" i="18" s="1"/>
  <c r="J10" i="18"/>
  <c r="J8" i="18"/>
  <c r="N8" i="18" s="1"/>
  <c r="J10" i="19"/>
  <c r="J6" i="19"/>
  <c r="J12" i="19"/>
  <c r="J8" i="19"/>
  <c r="J11" i="19"/>
  <c r="J9" i="19"/>
  <c r="J7" i="19"/>
  <c r="H28" i="19"/>
  <c r="J8" i="16"/>
  <c r="O8" i="16" s="1"/>
  <c r="J10" i="16"/>
  <c r="O10" i="16" s="1"/>
  <c r="J12" i="16"/>
  <c r="O12" i="16" s="1"/>
  <c r="J14" i="16"/>
  <c r="J16" i="16"/>
  <c r="J20" i="16"/>
  <c r="Q20" i="16" s="1"/>
  <c r="J6" i="16"/>
  <c r="O6" i="16" s="1"/>
  <c r="J9" i="16"/>
  <c r="J11" i="16"/>
  <c r="O11" i="16" s="1"/>
  <c r="J13" i="16"/>
  <c r="J15" i="16"/>
  <c r="J17" i="16"/>
  <c r="O17" i="16" s="1"/>
  <c r="D21" i="16"/>
  <c r="D14" i="10" s="1"/>
  <c r="F21" i="16"/>
  <c r="F14" i="10" s="1"/>
  <c r="E21" i="16"/>
  <c r="E14" i="10" s="1"/>
  <c r="H7" i="14"/>
  <c r="H6" i="14"/>
  <c r="I6" i="14" s="1"/>
  <c r="G19" i="14"/>
  <c r="G12" i="10" s="1"/>
  <c r="F19" i="14"/>
  <c r="F12" i="10" s="1"/>
  <c r="E19" i="14"/>
  <c r="E12" i="10" s="1"/>
  <c r="D19" i="14"/>
  <c r="D12" i="10" s="1"/>
  <c r="P8" i="18" l="1"/>
  <c r="N10" i="18"/>
  <c r="P10" i="18" s="1"/>
  <c r="P9" i="18"/>
  <c r="P8" i="17"/>
  <c r="P7" i="17"/>
  <c r="P7" i="15"/>
  <c r="N17" i="17"/>
  <c r="P17" i="17" s="1"/>
  <c r="N18" i="17"/>
  <c r="P18" i="17" s="1"/>
  <c r="I7" i="14"/>
  <c r="J7" i="14" s="1"/>
  <c r="Q13" i="16"/>
  <c r="P37" i="21"/>
  <c r="H12" i="10"/>
  <c r="I19" i="18"/>
  <c r="P12" i="19"/>
  <c r="U28" i="19"/>
  <c r="N27" i="19"/>
  <c r="U19" i="17"/>
  <c r="P11" i="19"/>
  <c r="P10" i="19"/>
  <c r="U19" i="18"/>
  <c r="Q14" i="16"/>
  <c r="P9" i="19"/>
  <c r="Q15" i="16"/>
  <c r="Q16" i="16"/>
  <c r="Q17" i="16"/>
  <c r="Q18" i="16"/>
  <c r="Q10" i="16"/>
  <c r="Q8" i="16"/>
  <c r="Q9" i="16"/>
  <c r="Q11" i="16"/>
  <c r="Q12" i="16"/>
  <c r="I21" i="15"/>
  <c r="J6" i="15"/>
  <c r="N6" i="15" s="1"/>
  <c r="P8" i="19"/>
  <c r="M28" i="19"/>
  <c r="H19" i="14"/>
  <c r="I19" i="17"/>
  <c r="J19" i="17"/>
  <c r="I28" i="19"/>
  <c r="P7" i="19"/>
  <c r="P6" i="19"/>
  <c r="J28" i="19"/>
  <c r="H36" i="21"/>
  <c r="I36" i="21" s="1"/>
  <c r="H35" i="21"/>
  <c r="I35" i="21" s="1"/>
  <c r="H34" i="21"/>
  <c r="I34" i="21" s="1"/>
  <c r="H33" i="21"/>
  <c r="I33" i="21" s="1"/>
  <c r="H32" i="21"/>
  <c r="I32" i="21" s="1"/>
  <c r="G29" i="20"/>
  <c r="G18" i="10" s="1"/>
  <c r="F29" i="20"/>
  <c r="F18" i="10" s="1"/>
  <c r="E29" i="20"/>
  <c r="E18" i="10" s="1"/>
  <c r="D29" i="20"/>
  <c r="D18" i="10" s="1"/>
  <c r="H6" i="20"/>
  <c r="I6" i="20" s="1"/>
  <c r="H21" i="16"/>
  <c r="H7" i="13"/>
  <c r="I7" i="13" s="1"/>
  <c r="E28" i="13"/>
  <c r="E11" i="10" s="1"/>
  <c r="G28" i="13"/>
  <c r="G11" i="10" s="1"/>
  <c r="H24" i="13"/>
  <c r="I24" i="13" s="1"/>
  <c r="H6" i="13"/>
  <c r="I6" i="13" s="1"/>
  <c r="H13" i="10"/>
  <c r="H14" i="10"/>
  <c r="H15" i="10"/>
  <c r="H19" i="10"/>
  <c r="H29" i="12"/>
  <c r="I29" i="12" s="1"/>
  <c r="H13" i="12"/>
  <c r="I13" i="12" s="1"/>
  <c r="H12" i="12"/>
  <c r="I12" i="12" s="1"/>
  <c r="H10" i="12"/>
  <c r="I10" i="12" s="1"/>
  <c r="H9" i="12"/>
  <c r="H8" i="12"/>
  <c r="I8" i="12" s="1"/>
  <c r="H7" i="12"/>
  <c r="I7" i="12" s="1"/>
  <c r="G30" i="12"/>
  <c r="G10" i="10" s="1"/>
  <c r="F30" i="12"/>
  <c r="F10" i="10" s="1"/>
  <c r="E30" i="12"/>
  <c r="E10" i="10" s="1"/>
  <c r="D30" i="12"/>
  <c r="D10" i="10" s="1"/>
  <c r="H33" i="11"/>
  <c r="I33" i="11" s="1"/>
  <c r="H7" i="11"/>
  <c r="I7" i="11" s="1"/>
  <c r="G34" i="11"/>
  <c r="G9" i="10" s="1"/>
  <c r="F34" i="11"/>
  <c r="F9" i="10" s="1"/>
  <c r="D34" i="11"/>
  <c r="D9" i="10" s="1"/>
  <c r="E34" i="11"/>
  <c r="E9" i="10" s="1"/>
  <c r="H22" i="9"/>
  <c r="I22" i="9" s="1"/>
  <c r="H21" i="9"/>
  <c r="H19" i="9"/>
  <c r="I19" i="9" s="1"/>
  <c r="H18" i="9"/>
  <c r="H17" i="9"/>
  <c r="H6" i="9"/>
  <c r="F43" i="9"/>
  <c r="F8" i="10" s="1"/>
  <c r="E43" i="9"/>
  <c r="E8" i="10" s="1"/>
  <c r="D43" i="9"/>
  <c r="D8" i="10" s="1"/>
  <c r="G43" i="9"/>
  <c r="G8" i="10" s="1"/>
  <c r="J17" i="9" l="1"/>
  <c r="N17" i="9" s="1"/>
  <c r="Q7" i="14"/>
  <c r="P6" i="15"/>
  <c r="U29" i="19"/>
  <c r="I6" i="9"/>
  <c r="J6" i="9" s="1"/>
  <c r="J21" i="9"/>
  <c r="N21" i="9" s="1"/>
  <c r="I18" i="9"/>
  <c r="J18" i="9" s="1"/>
  <c r="H30" i="12"/>
  <c r="H8" i="10"/>
  <c r="J19" i="18"/>
  <c r="N19" i="18"/>
  <c r="U20" i="17"/>
  <c r="Q6" i="16"/>
  <c r="Q21" i="16" s="1"/>
  <c r="O21" i="16"/>
  <c r="J19" i="9"/>
  <c r="N19" i="9" s="1"/>
  <c r="U20" i="18"/>
  <c r="J22" i="9"/>
  <c r="H43" i="9"/>
  <c r="J10" i="12"/>
  <c r="J8" i="12"/>
  <c r="N8" i="12" s="1"/>
  <c r="J13" i="12"/>
  <c r="J9" i="12"/>
  <c r="N9" i="12" s="1"/>
  <c r="J12" i="12"/>
  <c r="J29" i="12"/>
  <c r="J7" i="11"/>
  <c r="J33" i="11"/>
  <c r="H18" i="10"/>
  <c r="J21" i="15"/>
  <c r="I19" i="14"/>
  <c r="J6" i="14"/>
  <c r="H9" i="10"/>
  <c r="H10" i="10"/>
  <c r="G20" i="10"/>
  <c r="N28" i="19"/>
  <c r="J20" i="9"/>
  <c r="N20" i="9" s="1"/>
  <c r="H38" i="21"/>
  <c r="E20" i="10"/>
  <c r="J32" i="21"/>
  <c r="J34" i="21"/>
  <c r="J36" i="21"/>
  <c r="H29" i="20"/>
  <c r="J7" i="20"/>
  <c r="J9" i="20"/>
  <c r="J11" i="20"/>
  <c r="J33" i="21"/>
  <c r="J35" i="21"/>
  <c r="I38" i="21"/>
  <c r="J8" i="20"/>
  <c r="J10" i="20"/>
  <c r="J12" i="20"/>
  <c r="N12" i="20" s="1"/>
  <c r="I21" i="16"/>
  <c r="J6" i="13"/>
  <c r="J24" i="13"/>
  <c r="D28" i="13"/>
  <c r="D11" i="10" s="1"/>
  <c r="F28" i="13"/>
  <c r="F11" i="10" s="1"/>
  <c r="F20" i="10" s="1"/>
  <c r="H27" i="13"/>
  <c r="I27" i="13" s="1"/>
  <c r="J7" i="13"/>
  <c r="J12" i="13"/>
  <c r="H34" i="11"/>
  <c r="O24" i="13" l="1"/>
  <c r="Q24" i="13"/>
  <c r="N29" i="12"/>
  <c r="P29" i="12" s="1"/>
  <c r="P9" i="12"/>
  <c r="P12" i="12"/>
  <c r="P13" i="12"/>
  <c r="P10" i="12"/>
  <c r="P8" i="12"/>
  <c r="P7" i="11"/>
  <c r="P6" i="9"/>
  <c r="P22" i="9"/>
  <c r="P19" i="9"/>
  <c r="P21" i="9"/>
  <c r="P20" i="9"/>
  <c r="P17" i="9"/>
  <c r="P18" i="9"/>
  <c r="N33" i="11"/>
  <c r="P33" i="11" s="1"/>
  <c r="Q12" i="13"/>
  <c r="I30" i="12"/>
  <c r="J7" i="12"/>
  <c r="N7" i="12" s="1"/>
  <c r="P36" i="21"/>
  <c r="P35" i="21"/>
  <c r="P34" i="21"/>
  <c r="P11" i="20"/>
  <c r="P9" i="20"/>
  <c r="P28" i="19"/>
  <c r="Q11" i="13"/>
  <c r="Q9" i="13"/>
  <c r="M34" i="11"/>
  <c r="P19" i="18"/>
  <c r="J43" i="9"/>
  <c r="I43" i="9"/>
  <c r="Q7" i="13"/>
  <c r="Q6" i="13"/>
  <c r="I34" i="11"/>
  <c r="Q8" i="13"/>
  <c r="J19" i="14"/>
  <c r="Q6" i="14"/>
  <c r="Q19" i="14" s="1"/>
  <c r="O19" i="14"/>
  <c r="P10" i="20"/>
  <c r="P33" i="21"/>
  <c r="P21" i="15"/>
  <c r="N21" i="15"/>
  <c r="P12" i="20"/>
  <c r="P8" i="20"/>
  <c r="P7" i="20"/>
  <c r="P32" i="21"/>
  <c r="I29" i="20"/>
  <c r="J6" i="20"/>
  <c r="J21" i="16"/>
  <c r="J27" i="13"/>
  <c r="O27" i="13" s="1"/>
  <c r="D20" i="10"/>
  <c r="H11" i="10"/>
  <c r="H20" i="10" s="1"/>
  <c r="H28" i="13"/>
  <c r="J34" i="11"/>
  <c r="P7" i="12" l="1"/>
  <c r="J30" i="12"/>
  <c r="M43" i="9"/>
  <c r="N43" i="9"/>
  <c r="P43" i="9"/>
  <c r="I28" i="13"/>
  <c r="N29" i="20"/>
  <c r="J38" i="21"/>
  <c r="P6" i="21"/>
  <c r="N38" i="21"/>
  <c r="J29" i="20"/>
  <c r="P31" i="21"/>
  <c r="J28" i="13"/>
  <c r="N30" i="12" l="1"/>
  <c r="P30" i="12"/>
  <c r="Q27" i="13"/>
  <c r="Q28" i="13" s="1"/>
  <c r="P34" i="11"/>
  <c r="N34" i="11"/>
  <c r="P6" i="20"/>
  <c r="P29" i="20" s="1"/>
  <c r="O28" i="13"/>
  <c r="P38" i="21"/>
  <c r="N19" i="17" l="1"/>
  <c r="P19" i="17"/>
</calcChain>
</file>

<file path=xl/sharedStrings.xml><?xml version="1.0" encoding="utf-8"?>
<sst xmlns="http://schemas.openxmlformats.org/spreadsheetml/2006/main" count="603" uniqueCount="274">
  <si>
    <t>Total</t>
  </si>
  <si>
    <t>Keterangan</t>
  </si>
  <si>
    <t>Tanggal</t>
  </si>
  <si>
    <t>PPN</t>
  </si>
  <si>
    <t>No. Invoice</t>
  </si>
  <si>
    <t>Anchor</t>
  </si>
  <si>
    <t>Jasa</t>
  </si>
  <si>
    <t>Material</t>
  </si>
  <si>
    <t>Sewa Alat</t>
  </si>
  <si>
    <t>Grand Total</t>
  </si>
  <si>
    <t>JANUARI</t>
  </si>
  <si>
    <t>Periode</t>
  </si>
  <si>
    <t>No</t>
  </si>
  <si>
    <t>FEBRUARI</t>
  </si>
  <si>
    <t>TOTAL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</si>
  <si>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</si>
  <si>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</si>
  <si>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</si>
  <si>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</si>
  <si>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</si>
  <si>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</si>
  <si>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</si>
  <si>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</si>
  <si>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</si>
  <si>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</si>
  <si>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Tgl Pembayaran</t>
  </si>
  <si>
    <t>Nilai Pembayaran</t>
  </si>
  <si>
    <t>Saldo AR</t>
  </si>
  <si>
    <t>Potongan PPH 2%</t>
  </si>
  <si>
    <t>Beban Admin</t>
  </si>
  <si>
    <t>Suplier</t>
  </si>
  <si>
    <t>Saldo AP</t>
  </si>
  <si>
    <t>Supplier</t>
  </si>
  <si>
    <t>REKAP DATA HUTANG</t>
  </si>
  <si>
    <t>SUPPLIER</t>
  </si>
  <si>
    <t>PT. GEMA TEKNIK PERKASA</t>
  </si>
  <si>
    <t>TAHUN 2022</t>
  </si>
  <si>
    <t>PT. Indoporlen</t>
  </si>
  <si>
    <t>PT. Caprefindo</t>
  </si>
  <si>
    <t>PT. Mitra Utama Lestari Abadi</t>
  </si>
  <si>
    <t>Rek PT. Mula</t>
  </si>
  <si>
    <t>Mandiri</t>
  </si>
  <si>
    <t>156-000-4145126</t>
  </si>
  <si>
    <t>A/n</t>
  </si>
  <si>
    <t>Rek PT Caprefindo</t>
  </si>
  <si>
    <t>BNI</t>
  </si>
  <si>
    <t>001-625-4426</t>
  </si>
  <si>
    <t xml:space="preserve"> </t>
  </si>
  <si>
    <t>REK INDOPORLEN</t>
  </si>
  <si>
    <t>NO :</t>
  </si>
  <si>
    <t>437517,01,00001</t>
  </si>
  <si>
    <t>BANK :</t>
  </si>
  <si>
    <t>ANZ INDONESIA</t>
  </si>
  <si>
    <t>A/N</t>
  </si>
  <si>
    <t>PT. INDOPORLEN</t>
  </si>
  <si>
    <t>PT. Makmur Meta Graha Dinamika</t>
  </si>
  <si>
    <t>PT. Willich Isolasi Pratama</t>
  </si>
  <si>
    <t>Suwarso</t>
  </si>
  <si>
    <t>CV. Putra Indra Boga</t>
  </si>
  <si>
    <t>PT. Jaya Refractorindo Utama</t>
  </si>
  <si>
    <t>PT. Shinagawa Refractech Perkasa</t>
  </si>
  <si>
    <t>PT. Mega Eka Satya</t>
  </si>
  <si>
    <t>PT. Aurora Sheet Metal</t>
  </si>
  <si>
    <t>PT. Shinagawa Refratech Perkasa</t>
  </si>
  <si>
    <t>Sarana Karya Mandiri</t>
  </si>
  <si>
    <t>Kewajiban GMT Januari 2025</t>
  </si>
  <si>
    <t>3249001217</t>
  </si>
  <si>
    <t>3249001216</t>
  </si>
  <si>
    <t>3249001218</t>
  </si>
  <si>
    <t>3249001192</t>
  </si>
  <si>
    <t>3249001221</t>
  </si>
  <si>
    <t>3249001220</t>
  </si>
  <si>
    <t>3249001219</t>
  </si>
  <si>
    <t>071/GTP/AMS/2024</t>
  </si>
  <si>
    <t>PT. Allied Makmur Service</t>
  </si>
  <si>
    <t>069/GTP/AMS/2024</t>
  </si>
  <si>
    <t>066/GTP/AMS/2024</t>
  </si>
  <si>
    <t>503/INV-MES/I/25</t>
  </si>
  <si>
    <t>153</t>
  </si>
  <si>
    <t>SI-2412043</t>
  </si>
  <si>
    <t>004/CMB/I/2025</t>
  </si>
  <si>
    <t>PT. Cahaya Mega Buana</t>
  </si>
  <si>
    <t>INV/25/I/001</t>
  </si>
  <si>
    <t xml:space="preserve">CV. Bintang Utama </t>
  </si>
  <si>
    <t>04/INV/IP/I/2025</t>
  </si>
  <si>
    <t>026/Inv/250115-026</t>
  </si>
  <si>
    <t>154</t>
  </si>
  <si>
    <t>3259000012</t>
  </si>
  <si>
    <t>250100245</t>
  </si>
  <si>
    <t>234/INV/XII/2024</t>
  </si>
  <si>
    <t>PT. Max Rent Indonesia</t>
  </si>
  <si>
    <t>28/INV/IP/I/2025</t>
  </si>
  <si>
    <t>30/INV/IP/I/2025</t>
  </si>
  <si>
    <t>34/INV/IP/I/2025</t>
  </si>
  <si>
    <t>29/INV/IP/I/2025</t>
  </si>
  <si>
    <t>503P/INV-MES/I/25</t>
  </si>
  <si>
    <t>SI-2501012</t>
  </si>
  <si>
    <t>003MC/INV/DMP-GTP/I/25</t>
  </si>
  <si>
    <t>PT. Dwitama Metal Presisi</t>
  </si>
  <si>
    <t>34/J/I/25</t>
  </si>
  <si>
    <t>Kewajiban GMT Februari 2025</t>
  </si>
  <si>
    <t>0179/INV-MULA/II-25</t>
  </si>
  <si>
    <t>18/PO/GMT/II/2025</t>
  </si>
  <si>
    <t>GW Coin Rubber</t>
  </si>
  <si>
    <t>CV. Karya Teknik Mesin Kardim</t>
  </si>
  <si>
    <t>Naharudin</t>
  </si>
  <si>
    <t>19/PO/GMT/II/2025</t>
  </si>
  <si>
    <t>24/PO/GMT/II/2025</t>
  </si>
  <si>
    <t>2520053</t>
  </si>
  <si>
    <t>WIP/0119/T/II/2025</t>
  </si>
  <si>
    <t>20/GMT/PO/II/2025</t>
  </si>
  <si>
    <t>016-02-25-GTP</t>
  </si>
  <si>
    <t>PT. Akurasi Presisi Indonesia</t>
  </si>
  <si>
    <t>0084/BAT/I/2025/AGS</t>
  </si>
  <si>
    <t>PT. Benteng Api Technic tbk</t>
  </si>
  <si>
    <t>10362</t>
  </si>
  <si>
    <t>013/INV-ASM/II/2025</t>
  </si>
  <si>
    <t>CV. Aurora Sheet Metal</t>
  </si>
  <si>
    <t>008884</t>
  </si>
  <si>
    <t>PT. Diamond Jack Indonesia</t>
  </si>
  <si>
    <t>27/GMT/PO/II/2025</t>
  </si>
  <si>
    <t>83/INV/IP/II/2025</t>
  </si>
  <si>
    <t>97/INV/IP/II/2025</t>
  </si>
  <si>
    <t>SI-2502013</t>
  </si>
  <si>
    <t>2025/AMS/0011</t>
  </si>
  <si>
    <t>45/J/II/25</t>
  </si>
  <si>
    <t>0238/INV-MULA/II-25</t>
  </si>
  <si>
    <t>011C/INV/DMP-GTP/II/25</t>
  </si>
  <si>
    <t>Kewajiban GMT Maret 2025</t>
  </si>
  <si>
    <t>0588/KWT/URP/II/2025</t>
  </si>
  <si>
    <t>PT. Upaya Riksa Patra</t>
  </si>
  <si>
    <t>0189/SKN/III/2025</t>
  </si>
  <si>
    <t>PT. Sarana Katiga Nusantara</t>
  </si>
  <si>
    <t>006/PH-CV.ASM/II/2025</t>
  </si>
  <si>
    <t>032/INV-S3/II-25</t>
  </si>
  <si>
    <t>PT. Surya Semesta Sakti</t>
  </si>
  <si>
    <t>159</t>
  </si>
  <si>
    <t>SI-2503022</t>
  </si>
  <si>
    <t>0422/Inv-Mula/III-25</t>
  </si>
  <si>
    <t>Kewajiban GMT April 2025</t>
  </si>
  <si>
    <t>3259000271</t>
  </si>
  <si>
    <t>150/INV/IP/III/2025</t>
  </si>
  <si>
    <t>2520121</t>
  </si>
  <si>
    <t>93/J/III/25</t>
  </si>
  <si>
    <t>95/J/III/25</t>
  </si>
  <si>
    <t>102/J/III/25</t>
  </si>
  <si>
    <t>3259000275</t>
  </si>
  <si>
    <t>3259000274</t>
  </si>
  <si>
    <t>3259000285</t>
  </si>
  <si>
    <t>3259000273</t>
  </si>
  <si>
    <t>2025/AMS/0030</t>
  </si>
  <si>
    <t>PT. Allied Makmur Servis</t>
  </si>
  <si>
    <t>0237/TP/INV/III/25</t>
  </si>
  <si>
    <t>CV. Tehnik Perdana</t>
  </si>
  <si>
    <t>0283/TP/INV/IV/25</t>
  </si>
  <si>
    <t>SI-2504009</t>
  </si>
  <si>
    <t>067/INV-ASM/IV/2025</t>
  </si>
  <si>
    <t>1342163408</t>
  </si>
  <si>
    <t>PT. Kawan Lama Sejahtera</t>
  </si>
  <si>
    <t>SI-2504021</t>
  </si>
  <si>
    <t>051/INV-S3/IV-25</t>
  </si>
  <si>
    <t>193/INV/IP/IV/2025</t>
  </si>
  <si>
    <t>192/INV/IP/IV/2025</t>
  </si>
  <si>
    <t>37/J/IV/25</t>
  </si>
  <si>
    <t>PT. Jarefu</t>
  </si>
  <si>
    <t>1342177918</t>
  </si>
  <si>
    <t>Kewajiban GMT Mei 2025</t>
  </si>
  <si>
    <t>Kewajiban GMT Juni 2025</t>
  </si>
  <si>
    <t>Account Payable GMT Juli 2025</t>
  </si>
  <si>
    <t>Kewajiban GMT Agustus 2025</t>
  </si>
  <si>
    <t>Kewajiban GMT September 2025</t>
  </si>
  <si>
    <t>Kewajiban GMT Oktober 2025</t>
  </si>
  <si>
    <t>Kewajiban GMT November 2025</t>
  </si>
  <si>
    <t>Kewajiban GMT Desember 2025</t>
  </si>
  <si>
    <t>WIP/0445/T/IV/2025</t>
  </si>
  <si>
    <t>WIP/0425/T/IV/2025</t>
  </si>
  <si>
    <t>330/INV/IP/V/2025</t>
  </si>
  <si>
    <t>229/INV/IP/V/2025</t>
  </si>
  <si>
    <t>77/PO/GMT/V/2025</t>
  </si>
  <si>
    <t>79/PO/GMT/V/2025</t>
  </si>
  <si>
    <t>82/PO/GMT/V/2025</t>
  </si>
  <si>
    <t>107/INV-ASM/VI/2025</t>
  </si>
  <si>
    <t xml:space="preserve">CV. Aurora Sheet Metal </t>
  </si>
  <si>
    <t>85/GMT/PO/VI/2025</t>
  </si>
  <si>
    <t>87/GMT/PO/VI/2025</t>
  </si>
  <si>
    <t>271/INV/IP/VI/2025</t>
  </si>
  <si>
    <t>036C/INV/DMP-GTP/VI/25</t>
  </si>
  <si>
    <t>88/GMT/PO/VI/2025</t>
  </si>
  <si>
    <t>89/GMT/PO/VI/2025</t>
  </si>
  <si>
    <t>90/GMT/PO/VI/2025</t>
  </si>
  <si>
    <t>91/GMT/PO/VI/2025</t>
  </si>
  <si>
    <t>92/GMT/PO/VI/2025</t>
  </si>
  <si>
    <t>114/INV-ASM/VI/2025</t>
  </si>
  <si>
    <t>96/PO/GMT/VII/2025</t>
  </si>
  <si>
    <t>SI-2507019</t>
  </si>
  <si>
    <t>104/PO/GMT/VII/2025</t>
  </si>
  <si>
    <t>0975/INV-MULA/VII-25</t>
  </si>
  <si>
    <t>WIP/0777/T/VII/2025</t>
  </si>
  <si>
    <t>0010/INV/06/25</t>
  </si>
  <si>
    <t>PT. Indobricks Sejahtera</t>
  </si>
  <si>
    <t>105/PO/GMT/VII/2025</t>
  </si>
  <si>
    <t>108/PO/GMT/VII/2025</t>
  </si>
  <si>
    <t>1016/INV-MULA/VII-25</t>
  </si>
  <si>
    <t>171</t>
  </si>
  <si>
    <t>377/Inv/Ip/VII/2025</t>
  </si>
  <si>
    <t>2025/AMS/0099</t>
  </si>
  <si>
    <t>110/PO/GMT/VII/2025</t>
  </si>
  <si>
    <t>WIP/0802/T/VII/2025</t>
  </si>
  <si>
    <t>Ajen Mustopa</t>
  </si>
  <si>
    <t>3259000639</t>
  </si>
  <si>
    <t>392/INV/IP/VIII/2025</t>
  </si>
  <si>
    <t>2025/AMS/0104</t>
  </si>
  <si>
    <t>250800601</t>
  </si>
  <si>
    <t>105/INV-S3/VIII-25</t>
  </si>
  <si>
    <t>188/Inv-asm/VIII/2025</t>
  </si>
  <si>
    <t>SI-2508031</t>
  </si>
  <si>
    <t>429/INV/IP/VIII/2025</t>
  </si>
  <si>
    <t>56/J/VIII/25</t>
  </si>
  <si>
    <t>55/J/VIII/25</t>
  </si>
  <si>
    <t>WIP/0999/T/IX/2025</t>
  </si>
  <si>
    <t>131/GMT/PO/IX/2025</t>
  </si>
  <si>
    <t>SI-2509013</t>
  </si>
  <si>
    <t>2037/IX2025/KLOTANGERANG/Q311</t>
  </si>
  <si>
    <t>PT. Kawan Lama Solusi</t>
  </si>
  <si>
    <t>250900263</t>
  </si>
  <si>
    <t>459/INV/IP/IX/2025</t>
  </si>
  <si>
    <t>460/INV/IP/IX/2025</t>
  </si>
  <si>
    <t>SI-2509045</t>
  </si>
  <si>
    <t>75/GMT/PO/IV/2025</t>
  </si>
  <si>
    <t>Satria Purwanto</t>
  </si>
  <si>
    <t>N-021124134</t>
  </si>
  <si>
    <t>PT. Afi Buana Prima</t>
  </si>
  <si>
    <t>CV. Maha Jaya Packing</t>
  </si>
  <si>
    <t>0009/INV/09/25</t>
  </si>
  <si>
    <t>251000126</t>
  </si>
  <si>
    <t>2520465</t>
  </si>
  <si>
    <t>274/INV-ASM/X/2025</t>
  </si>
  <si>
    <t>271/INV-ASM/X/2025</t>
  </si>
  <si>
    <t>3259000835</t>
  </si>
  <si>
    <t>SI-2510014</t>
  </si>
  <si>
    <t>WM-0302/PR/X/2025-INV</t>
  </si>
  <si>
    <t>PT. Tyotech Mandiri Jaya</t>
  </si>
  <si>
    <t>2520500</t>
  </si>
  <si>
    <t>585/Inv/IP/X/2025</t>
  </si>
  <si>
    <t>584/INV/IP/X/2025</t>
  </si>
  <si>
    <t>WIP/1085/T/IX/2025</t>
  </si>
  <si>
    <t>595/INV/IP/X/2025</t>
  </si>
  <si>
    <t>1055/INV-MES/XI/25</t>
  </si>
  <si>
    <t>2025/AMS/0151</t>
  </si>
  <si>
    <t>1055P/INV-MES/XI/25</t>
  </si>
  <si>
    <t>103/INV-DELINTEK/XI/2025</t>
  </si>
  <si>
    <t>PT. Dele Indah Teknindo</t>
  </si>
  <si>
    <t>328/INV-ASM/X/2025</t>
  </si>
  <si>
    <t>1687/INV-MULA/XI-25</t>
  </si>
  <si>
    <t>SI-2511016</t>
  </si>
  <si>
    <t>251100801</t>
  </si>
  <si>
    <t>2025/0117</t>
  </si>
  <si>
    <t>PT. Kelola Buana Lestari</t>
  </si>
  <si>
    <t>251100957</t>
  </si>
  <si>
    <t>3259001014</t>
  </si>
  <si>
    <t>3259001005</t>
  </si>
  <si>
    <t>620/INV/IP/XII/2025</t>
  </si>
  <si>
    <t>251200020</t>
  </si>
  <si>
    <t>SI-2512002</t>
  </si>
  <si>
    <t>WIP/373/PRF/IX/2025</t>
  </si>
  <si>
    <t>626/INV/IP/XII/2025</t>
  </si>
  <si>
    <t>625/INV/IP/XII/2025</t>
  </si>
  <si>
    <t>631/INV/IP/XII/2025</t>
  </si>
  <si>
    <t>16/PUT/XII-2025</t>
  </si>
  <si>
    <t>CV. Panca Utama Teknik</t>
  </si>
  <si>
    <t>2025/AMS/0187</t>
  </si>
  <si>
    <t>WIP/1378/T/XI/2025</t>
  </si>
  <si>
    <t>WIP/1377/T/XI/2025</t>
  </si>
  <si>
    <t>177-12-25-GTP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</si>
</sst>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[$-409]d\-mmm\-yy;@"/>
    <numFmt numFmtId="167" formatCode="[$-409]dd\-mmm\-yy;@"/>
    <numFmt numFmtId="168" formatCode="#,##0;[Red]#,##0"/>
    <numFmt numFmtId="169" formatCode="#,##0.00;[Red]#,##0.00"/>
    <numFmt numFmtId="170" formatCode="_(* #,##0_);_(* \(#,##0\);_(* &quot;-&quot;??_);_(@_)"/>
    <numFmt numFmtId="171" formatCode="_-* #,##0_-;\-* #,##0_-;_-* &quot;-&quot;??_-;_-@_-"/>
    <numFmt numFmtId="172" formatCode="_-* #,##0.0_-;\-* #,##0.0_-;_-* &quot;-&quot;??_-;_-@_-"/>
    <numFmt numFmtId="173" formatCode="_([$Rp-421]* #,##0_);_([$Rp-421]* \(#,##0\);_([$Rp-421]* &quot;-&quot;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2"/>
      <color theme="1"/>
      <name val="Arial Black"/>
      <family val="2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Book Antiqua"/>
      <family val="1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3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68" fontId="0" fillId="0" borderId="0" xfId="0" applyNumberFormat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9" fontId="0" fillId="0" borderId="2" xfId="0" applyNumberFormat="1" applyBorder="1" applyAlignment="1">
      <alignment vertical="center"/>
    </xf>
    <xf numFmtId="169" fontId="0" fillId="0" borderId="0" xfId="0" applyNumberFormat="1" applyAlignment="1">
      <alignment vertical="center"/>
    </xf>
    <xf numFmtId="169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44" fontId="0" fillId="0" borderId="2" xfId="0" applyNumberFormat="1" applyBorder="1" applyAlignment="1">
      <alignment vertical="center"/>
    </xf>
    <xf numFmtId="168" fontId="4" fillId="0" borderId="4" xfId="0" applyNumberFormat="1" applyFont="1" applyBorder="1" applyAlignment="1">
      <alignment horizontal="right" vertical="center"/>
    </xf>
    <xf numFmtId="168" fontId="0" fillId="0" borderId="0" xfId="0" applyNumberFormat="1"/>
    <xf numFmtId="169" fontId="0" fillId="0" borderId="0" xfId="0" applyNumberFormat="1"/>
    <xf numFmtId="171" fontId="0" fillId="0" borderId="0" xfId="2" applyNumberFormat="1" applyFont="1"/>
    <xf numFmtId="168" fontId="4" fillId="0" borderId="4" xfId="0" applyNumberFormat="1" applyFont="1" applyBorder="1" applyAlignment="1">
      <alignment vertical="center"/>
    </xf>
    <xf numFmtId="166" fontId="4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8" fontId="4" fillId="0" borderId="5" xfId="0" applyNumberFormat="1" applyFont="1" applyBorder="1" applyAlignment="1">
      <alignment horizontal="right" vertical="center"/>
    </xf>
    <xf numFmtId="168" fontId="4" fillId="0" borderId="5" xfId="0" applyNumberFormat="1" applyFont="1" applyBorder="1" applyAlignment="1">
      <alignment vertical="center"/>
    </xf>
    <xf numFmtId="166" fontId="4" fillId="0" borderId="6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68" fontId="4" fillId="0" borderId="6" xfId="0" applyNumberFormat="1" applyFont="1" applyBorder="1" applyAlignment="1">
      <alignment horizontal="right" vertical="center"/>
    </xf>
    <xf numFmtId="168" fontId="4" fillId="0" borderId="6" xfId="0" applyNumberFormat="1" applyFont="1" applyBorder="1" applyAlignment="1">
      <alignment vertical="center"/>
    </xf>
    <xf numFmtId="168" fontId="8" fillId="0" borderId="6" xfId="2" applyNumberFormat="1" applyFont="1" applyBorder="1" applyAlignment="1">
      <alignment vertical="center"/>
    </xf>
    <xf numFmtId="168" fontId="4" fillId="0" borderId="6" xfId="0" applyNumberFormat="1" applyFont="1" applyBorder="1"/>
    <xf numFmtId="168" fontId="8" fillId="0" borderId="6" xfId="0" applyNumberFormat="1" applyFont="1" applyBorder="1" applyAlignment="1">
      <alignment horizontal="right" vertical="center"/>
    </xf>
    <xf numFmtId="166" fontId="4" fillId="0" borderId="7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6" fontId="4" fillId="0" borderId="5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6" fontId="5" fillId="3" borderId="1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69" fontId="5" fillId="3" borderId="3" xfId="0" applyNumberFormat="1" applyFont="1" applyFill="1" applyBorder="1" applyAlignment="1">
      <alignment horizontal="right" vertical="center"/>
    </xf>
    <xf numFmtId="168" fontId="9" fillId="3" borderId="3" xfId="0" applyNumberFormat="1" applyFont="1" applyFill="1" applyBorder="1" applyAlignment="1">
      <alignment horizontal="center" vertical="center"/>
    </xf>
    <xf numFmtId="169" fontId="9" fillId="3" borderId="3" xfId="0" applyNumberFormat="1" applyFont="1" applyFill="1" applyBorder="1" applyAlignment="1">
      <alignment horizontal="center" vertical="center"/>
    </xf>
    <xf numFmtId="169" fontId="9" fillId="3" borderId="1" xfId="0" applyNumberFormat="1" applyFont="1" applyFill="1" applyBorder="1" applyAlignment="1">
      <alignment horizontal="center" vertical="center"/>
    </xf>
    <xf numFmtId="168" fontId="5" fillId="0" borderId="6" xfId="0" applyNumberFormat="1" applyFont="1" applyBorder="1"/>
    <xf numFmtId="168" fontId="5" fillId="0" borderId="4" xfId="0" applyNumberFormat="1" applyFont="1" applyBorder="1"/>
    <xf numFmtId="0" fontId="0" fillId="0" borderId="1" xfId="0" applyBorder="1" applyAlignment="1">
      <alignment horizontal="center" vertical="center"/>
    </xf>
    <xf numFmtId="168" fontId="5" fillId="3" borderId="3" xfId="0" applyNumberFormat="1" applyFont="1" applyFill="1" applyBorder="1" applyAlignment="1">
      <alignment horizontal="right" vertical="center"/>
    </xf>
    <xf numFmtId="166" fontId="5" fillId="3" borderId="3" xfId="0" applyNumberFormat="1" applyFont="1" applyFill="1" applyBorder="1" applyAlignment="1">
      <alignment vertical="center"/>
    </xf>
    <xf numFmtId="171" fontId="4" fillId="0" borderId="5" xfId="2" applyNumberFormat="1" applyFont="1" applyBorder="1" applyAlignment="1">
      <alignment horizontal="center" vertical="center"/>
    </xf>
    <xf numFmtId="168" fontId="0" fillId="0" borderId="6" xfId="0" applyNumberFormat="1" applyBorder="1" applyAlignment="1">
      <alignment vertical="center"/>
    </xf>
    <xf numFmtId="171" fontId="4" fillId="0" borderId="6" xfId="2" applyNumberFormat="1" applyFont="1" applyBorder="1" applyAlignment="1">
      <alignment horizontal="center" vertical="center"/>
    </xf>
    <xf numFmtId="168" fontId="5" fillId="2" borderId="5" xfId="0" applyNumberFormat="1" applyFont="1" applyFill="1" applyBorder="1" applyAlignment="1">
      <alignment vertical="center"/>
    </xf>
    <xf numFmtId="168" fontId="5" fillId="2" borderId="6" xfId="0" applyNumberFormat="1" applyFont="1" applyFill="1" applyBorder="1" applyAlignment="1">
      <alignment vertical="center"/>
    </xf>
    <xf numFmtId="168" fontId="5" fillId="2" borderId="7" xfId="0" applyNumberFormat="1" applyFont="1" applyFill="1" applyBorder="1" applyAlignment="1">
      <alignment vertical="center"/>
    </xf>
    <xf numFmtId="171" fontId="5" fillId="0" borderId="6" xfId="2" applyNumberFormat="1" applyFont="1" applyBorder="1" applyAlignment="1">
      <alignment horizontal="center" vertical="center"/>
    </xf>
    <xf numFmtId="171" fontId="2" fillId="3" borderId="1" xfId="0" applyNumberFormat="1" applyFont="1" applyFill="1" applyBorder="1" applyAlignment="1">
      <alignment vertical="center"/>
    </xf>
    <xf numFmtId="171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71" fontId="4" fillId="0" borderId="1" xfId="2" applyNumberFormat="1" applyFont="1" applyBorder="1" applyAlignment="1">
      <alignment vertical="center"/>
    </xf>
    <xf numFmtId="171" fontId="5" fillId="0" borderId="1" xfId="2" applyNumberFormat="1" applyFont="1" applyBorder="1" applyAlignment="1">
      <alignment vertical="center"/>
    </xf>
    <xf numFmtId="43" fontId="5" fillId="3" borderId="3" xfId="2" applyFont="1" applyFill="1" applyBorder="1" applyAlignment="1">
      <alignment horizontal="right" vertical="center"/>
    </xf>
    <xf numFmtId="168" fontId="5" fillId="0" borderId="5" xfId="0" applyNumberFormat="1" applyFont="1" applyBorder="1" applyAlignment="1">
      <alignment horizontal="right" vertical="center"/>
    </xf>
    <xf numFmtId="168" fontId="5" fillId="0" borderId="6" xfId="0" applyNumberFormat="1" applyFont="1" applyBorder="1" applyAlignment="1">
      <alignment horizontal="right" vertical="center"/>
    </xf>
    <xf numFmtId="168" fontId="5" fillId="0" borderId="7" xfId="0" applyNumberFormat="1" applyFont="1" applyBorder="1" applyAlignment="1">
      <alignment horizontal="right" vertical="center"/>
    </xf>
    <xf numFmtId="43" fontId="4" fillId="0" borderId="1" xfId="2" applyFont="1" applyBorder="1" applyAlignment="1">
      <alignment vertical="center"/>
    </xf>
    <xf numFmtId="167" fontId="4" fillId="0" borderId="6" xfId="0" applyNumberFormat="1" applyFont="1" applyBorder="1" applyAlignment="1">
      <alignment vertical="center"/>
    </xf>
    <xf numFmtId="168" fontId="4" fillId="2" borderId="5" xfId="0" applyNumberFormat="1" applyFont="1" applyFill="1" applyBorder="1" applyAlignment="1">
      <alignment vertical="center"/>
    </xf>
    <xf numFmtId="168" fontId="4" fillId="2" borderId="6" xfId="0" applyNumberFormat="1" applyFont="1" applyFill="1" applyBorder="1" applyAlignment="1">
      <alignment vertical="center"/>
    </xf>
    <xf numFmtId="3" fontId="4" fillId="0" borderId="5" xfId="0" applyNumberFormat="1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vertical="center"/>
    </xf>
    <xf numFmtId="3" fontId="4" fillId="2" borderId="5" xfId="0" applyNumberFormat="1" applyFont="1" applyFill="1" applyBorder="1" applyAlignment="1">
      <alignment vertical="center"/>
    </xf>
    <xf numFmtId="3" fontId="4" fillId="0" borderId="6" xfId="0" applyNumberFormat="1" applyFont="1" applyBorder="1" applyAlignment="1">
      <alignment horizontal="right" vertical="center"/>
    </xf>
    <xf numFmtId="3" fontId="4" fillId="0" borderId="6" xfId="0" applyNumberFormat="1" applyFont="1" applyBorder="1" applyAlignment="1">
      <alignment vertical="center"/>
    </xf>
    <xf numFmtId="3" fontId="4" fillId="2" borderId="6" xfId="0" applyNumberFormat="1" applyFont="1" applyFill="1" applyBorder="1" applyAlignment="1">
      <alignment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right" vertical="center"/>
    </xf>
    <xf numFmtId="3" fontId="4" fillId="0" borderId="7" xfId="0" applyNumberFormat="1" applyFont="1" applyBorder="1" applyAlignment="1">
      <alignment vertical="center"/>
    </xf>
    <xf numFmtId="3" fontId="4" fillId="2" borderId="7" xfId="0" applyNumberFormat="1" applyFont="1" applyFill="1" applyBorder="1" applyAlignment="1">
      <alignment vertical="center"/>
    </xf>
    <xf numFmtId="171" fontId="4" fillId="0" borderId="5" xfId="0" applyNumberFormat="1" applyFont="1" applyBorder="1" applyAlignment="1">
      <alignment horizontal="right" vertical="center"/>
    </xf>
    <xf numFmtId="171" fontId="4" fillId="0" borderId="5" xfId="0" applyNumberFormat="1" applyFont="1" applyBorder="1" applyAlignment="1">
      <alignment vertical="center"/>
    </xf>
    <xf numFmtId="171" fontId="4" fillId="0" borderId="5" xfId="1" applyNumberFormat="1" applyFont="1" applyBorder="1" applyAlignment="1">
      <alignment horizontal="right" vertical="center"/>
    </xf>
    <xf numFmtId="171" fontId="4" fillId="0" borderId="6" xfId="0" applyNumberFormat="1" applyFont="1" applyBorder="1" applyAlignment="1">
      <alignment horizontal="right" vertical="center"/>
    </xf>
    <xf numFmtId="171" fontId="4" fillId="0" borderId="6" xfId="0" applyNumberFormat="1" applyFont="1" applyBorder="1" applyAlignment="1">
      <alignment vertical="center"/>
    </xf>
    <xf numFmtId="171" fontId="4" fillId="2" borderId="6" xfId="0" applyNumberFormat="1" applyFont="1" applyFill="1" applyBorder="1" applyAlignment="1">
      <alignment vertical="center"/>
    </xf>
    <xf numFmtId="171" fontId="4" fillId="0" borderId="6" xfId="0" applyNumberFormat="1" applyFont="1" applyBorder="1" applyAlignment="1">
      <alignment horizontal="center" vertical="center"/>
    </xf>
    <xf numFmtId="171" fontId="4" fillId="0" borderId="6" xfId="1" applyNumberFormat="1" applyFont="1" applyBorder="1" applyAlignment="1">
      <alignment horizontal="right" vertical="center"/>
    </xf>
    <xf numFmtId="171" fontId="4" fillId="0" borderId="7" xfId="0" applyNumberFormat="1" applyFont="1" applyBorder="1" applyAlignment="1">
      <alignment horizontal="right" vertical="center"/>
    </xf>
    <xf numFmtId="171" fontId="4" fillId="0" borderId="7" xfId="0" applyNumberFormat="1" applyFont="1" applyBorder="1" applyAlignment="1">
      <alignment vertical="center"/>
    </xf>
    <xf numFmtId="171" fontId="4" fillId="2" borderId="7" xfId="0" applyNumberFormat="1" applyFont="1" applyFill="1" applyBorder="1" applyAlignment="1">
      <alignment vertical="center"/>
    </xf>
    <xf numFmtId="171" fontId="4" fillId="0" borderId="7" xfId="0" applyNumberFormat="1" applyFont="1" applyBorder="1" applyAlignment="1">
      <alignment horizontal="center" vertical="center"/>
    </xf>
    <xf numFmtId="172" fontId="5" fillId="3" borderId="3" xfId="2" applyNumberFormat="1" applyFont="1" applyFill="1" applyBorder="1" applyAlignment="1">
      <alignment horizontal="right" vertical="center"/>
    </xf>
    <xf numFmtId="171" fontId="5" fillId="3" borderId="3" xfId="2" applyNumberFormat="1" applyFont="1" applyFill="1" applyBorder="1" applyAlignment="1">
      <alignment horizontal="right" vertical="center"/>
    </xf>
    <xf numFmtId="171" fontId="4" fillId="0" borderId="5" xfId="2" applyNumberFormat="1" applyFont="1" applyBorder="1" applyAlignment="1">
      <alignment horizontal="right" vertical="center"/>
    </xf>
    <xf numFmtId="171" fontId="4" fillId="0" borderId="5" xfId="2" applyNumberFormat="1" applyFont="1" applyBorder="1" applyAlignment="1">
      <alignment vertical="center"/>
    </xf>
    <xf numFmtId="171" fontId="4" fillId="2" borderId="5" xfId="2" applyNumberFormat="1" applyFont="1" applyFill="1" applyBorder="1" applyAlignment="1">
      <alignment vertical="center"/>
    </xf>
    <xf numFmtId="171" fontId="4" fillId="0" borderId="6" xfId="2" applyNumberFormat="1" applyFont="1" applyBorder="1" applyAlignment="1">
      <alignment horizontal="right" vertical="center"/>
    </xf>
    <xf numFmtId="171" fontId="4" fillId="0" borderId="6" xfId="2" applyNumberFormat="1" applyFont="1" applyBorder="1" applyAlignment="1">
      <alignment vertical="center"/>
    </xf>
    <xf numFmtId="171" fontId="4" fillId="2" borderId="6" xfId="2" applyNumberFormat="1" applyFont="1" applyFill="1" applyBorder="1" applyAlignment="1">
      <alignment vertical="center"/>
    </xf>
    <xf numFmtId="171" fontId="4" fillId="0" borderId="6" xfId="2" applyNumberFormat="1" applyFont="1" applyFill="1" applyBorder="1" applyAlignment="1">
      <alignment horizontal="right" vertical="center"/>
    </xf>
    <xf numFmtId="171" fontId="4" fillId="0" borderId="6" xfId="2" applyNumberFormat="1" applyFont="1" applyFill="1" applyBorder="1" applyAlignment="1">
      <alignment vertical="center"/>
    </xf>
    <xf numFmtId="171" fontId="4" fillId="0" borderId="7" xfId="2" applyNumberFormat="1" applyFont="1" applyFill="1" applyBorder="1" applyAlignment="1">
      <alignment horizontal="right" vertical="center"/>
    </xf>
    <xf numFmtId="171" fontId="4" fillId="0" borderId="7" xfId="2" applyNumberFormat="1" applyFont="1" applyFill="1" applyBorder="1" applyAlignment="1">
      <alignment vertical="center"/>
    </xf>
    <xf numFmtId="168" fontId="8" fillId="0" borderId="5" xfId="0" applyNumberFormat="1" applyFont="1" applyBorder="1" applyAlignment="1">
      <alignment horizontal="right" vertical="center"/>
    </xf>
    <xf numFmtId="168" fontId="11" fillId="0" borderId="5" xfId="0" applyNumberFormat="1" applyFont="1" applyBorder="1" applyAlignment="1">
      <alignment horizontal="right" vertical="center"/>
    </xf>
    <xf numFmtId="168" fontId="11" fillId="2" borderId="6" xfId="0" applyNumberFormat="1" applyFont="1" applyFill="1" applyBorder="1" applyAlignment="1">
      <alignment vertical="center"/>
    </xf>
    <xf numFmtId="168" fontId="11" fillId="0" borderId="6" xfId="0" applyNumberFormat="1" applyFont="1" applyBorder="1" applyAlignment="1">
      <alignment horizontal="right" vertical="center"/>
    </xf>
    <xf numFmtId="168" fontId="8" fillId="0" borderId="5" xfId="0" applyNumberFormat="1" applyFont="1" applyBorder="1" applyAlignment="1">
      <alignment vertical="center"/>
    </xf>
    <xf numFmtId="169" fontId="8" fillId="0" borderId="5" xfId="0" applyNumberFormat="1" applyFont="1" applyBorder="1" applyAlignment="1">
      <alignment horizontal="right" vertical="center"/>
    </xf>
    <xf numFmtId="169" fontId="8" fillId="0" borderId="5" xfId="0" applyNumberFormat="1" applyFont="1" applyBorder="1" applyAlignment="1">
      <alignment vertical="center"/>
    </xf>
    <xf numFmtId="168" fontId="8" fillId="0" borderId="6" xfId="0" applyNumberFormat="1" applyFont="1" applyBorder="1" applyAlignment="1">
      <alignment vertical="center"/>
    </xf>
    <xf numFmtId="169" fontId="8" fillId="0" borderId="6" xfId="0" applyNumberFormat="1" applyFont="1" applyBorder="1" applyAlignment="1">
      <alignment horizontal="right" vertical="center"/>
    </xf>
    <xf numFmtId="169" fontId="8" fillId="0" borderId="6" xfId="0" applyNumberFormat="1" applyFont="1" applyBorder="1" applyAlignment="1">
      <alignment vertical="center"/>
    </xf>
    <xf numFmtId="4" fontId="8" fillId="0" borderId="6" xfId="0" applyNumberFormat="1" applyFont="1" applyBorder="1" applyAlignment="1">
      <alignment horizontal="right" vertical="center"/>
    </xf>
    <xf numFmtId="169" fontId="8" fillId="0" borderId="7" xfId="0" applyNumberFormat="1" applyFont="1" applyBorder="1" applyAlignment="1">
      <alignment horizontal="right" vertical="center"/>
    </xf>
    <xf numFmtId="43" fontId="8" fillId="0" borderId="7" xfId="0" applyNumberFormat="1" applyFont="1" applyBorder="1" applyAlignment="1">
      <alignment vertical="center"/>
    </xf>
    <xf numFmtId="170" fontId="8" fillId="0" borderId="7" xfId="2" applyNumberFormat="1" applyFont="1" applyBorder="1" applyAlignment="1">
      <alignment vertical="center"/>
    </xf>
    <xf numFmtId="169" fontId="8" fillId="0" borderId="7" xfId="0" applyNumberFormat="1" applyFont="1" applyBorder="1" applyAlignment="1">
      <alignment vertical="center"/>
    </xf>
    <xf numFmtId="168" fontId="11" fillId="0" borderId="7" xfId="0" applyNumberFormat="1" applyFont="1" applyBorder="1" applyAlignment="1">
      <alignment horizontal="right" vertical="center"/>
    </xf>
    <xf numFmtId="168" fontId="4" fillId="0" borderId="7" xfId="0" applyNumberFormat="1" applyFont="1" applyBorder="1" applyAlignment="1">
      <alignment horizontal="right" vertical="center"/>
    </xf>
    <xf numFmtId="168" fontId="4" fillId="0" borderId="7" xfId="0" applyNumberFormat="1" applyFont="1" applyBorder="1" applyAlignment="1">
      <alignment horizontal="center" vertical="center"/>
    </xf>
    <xf numFmtId="168" fontId="4" fillId="0" borderId="7" xfId="0" applyNumberFormat="1" applyFont="1" applyBorder="1" applyAlignment="1">
      <alignment vertical="center"/>
    </xf>
    <xf numFmtId="168" fontId="5" fillId="0" borderId="0" xfId="0" applyNumberFormat="1" applyFont="1" applyAlignment="1">
      <alignment horizontal="right" vertical="center"/>
    </xf>
    <xf numFmtId="171" fontId="5" fillId="3" borderId="0" xfId="2" applyNumberFormat="1" applyFont="1" applyFill="1" applyBorder="1" applyAlignment="1">
      <alignment horizontal="right" vertical="center"/>
    </xf>
    <xf numFmtId="168" fontId="6" fillId="0" borderId="0" xfId="0" applyNumberFormat="1" applyFont="1" applyAlignment="1">
      <alignment horizontal="center" vertical="center" wrapText="1"/>
    </xf>
    <xf numFmtId="169" fontId="9" fillId="0" borderId="0" xfId="0" applyNumberFormat="1" applyFont="1" applyAlignment="1">
      <alignment horizontal="center" vertical="center"/>
    </xf>
    <xf numFmtId="168" fontId="5" fillId="0" borderId="8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171" fontId="0" fillId="0" borderId="5" xfId="0" applyNumberForma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right" vertical="center"/>
    </xf>
    <xf numFmtId="171" fontId="4" fillId="0" borderId="9" xfId="2" applyNumberFormat="1" applyFont="1" applyBorder="1" applyAlignment="1">
      <alignment vertical="center"/>
    </xf>
    <xf numFmtId="43" fontId="5" fillId="3" borderId="1" xfId="2" applyFont="1" applyFill="1" applyBorder="1" applyAlignment="1">
      <alignment horizontal="right" vertical="center"/>
    </xf>
    <xf numFmtId="171" fontId="5" fillId="3" borderId="1" xfId="2" applyNumberFormat="1" applyFont="1" applyFill="1" applyBorder="1" applyAlignment="1">
      <alignment horizontal="right" vertical="center"/>
    </xf>
    <xf numFmtId="3" fontId="0" fillId="0" borderId="0" xfId="0" applyNumberFormat="1"/>
    <xf numFmtId="43" fontId="0" fillId="0" borderId="0" xfId="2" applyFont="1"/>
    <xf numFmtId="165" fontId="0" fillId="0" borderId="0" xfId="0" applyNumberFormat="1"/>
    <xf numFmtId="171" fontId="0" fillId="0" borderId="0" xfId="0" applyNumberFormat="1"/>
    <xf numFmtId="170" fontId="4" fillId="0" borderId="6" xfId="0" applyNumberFormat="1" applyFont="1" applyBorder="1" applyAlignment="1">
      <alignment vertical="center"/>
    </xf>
    <xf numFmtId="171" fontId="0" fillId="0" borderId="0" xfId="0" applyNumberFormat="1" applyAlignment="1">
      <alignment vertical="center"/>
    </xf>
    <xf numFmtId="171" fontId="4" fillId="0" borderId="2" xfId="0" applyNumberFormat="1" applyFont="1" applyBorder="1" applyAlignment="1">
      <alignment horizontal="right" vertical="center"/>
    </xf>
    <xf numFmtId="171" fontId="4" fillId="2" borderId="4" xfId="0" applyNumberFormat="1" applyFont="1" applyFill="1" applyBorder="1" applyAlignment="1">
      <alignment vertical="center"/>
    </xf>
    <xf numFmtId="171" fontId="4" fillId="0" borderId="4" xfId="0" applyNumberFormat="1" applyFont="1" applyBorder="1" applyAlignment="1">
      <alignment horizontal="center" vertical="center"/>
    </xf>
    <xf numFmtId="171" fontId="4" fillId="0" borderId="4" xfId="0" applyNumberFormat="1" applyFont="1" applyBorder="1" applyAlignment="1">
      <alignment vertical="center"/>
    </xf>
    <xf numFmtId="166" fontId="5" fillId="0" borderId="6" xfId="0" applyNumberFormat="1" applyFont="1" applyBorder="1" applyAlignment="1">
      <alignment horizontal="center" vertical="center"/>
    </xf>
    <xf numFmtId="43" fontId="5" fillId="0" borderId="6" xfId="2" applyFont="1" applyFill="1" applyBorder="1" applyAlignment="1">
      <alignment horizontal="center" vertical="center"/>
    </xf>
    <xf numFmtId="168" fontId="5" fillId="0" borderId="6" xfId="0" applyNumberFormat="1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171" fontId="5" fillId="0" borderId="6" xfId="0" applyNumberFormat="1" applyFont="1" applyBorder="1" applyAlignment="1">
      <alignment vertical="center"/>
    </xf>
    <xf numFmtId="43" fontId="5" fillId="0" borderId="6" xfId="2" applyFont="1" applyBorder="1" applyAlignment="1">
      <alignment vertical="center"/>
    </xf>
    <xf numFmtId="171" fontId="5" fillId="0" borderId="5" xfId="2" applyNumberFormat="1" applyFont="1" applyBorder="1" applyAlignment="1">
      <alignment horizontal="right" vertical="center"/>
    </xf>
    <xf numFmtId="168" fontId="5" fillId="0" borderId="5" xfId="0" applyNumberFormat="1" applyFont="1" applyBorder="1" applyAlignment="1">
      <alignment vertical="center"/>
    </xf>
    <xf numFmtId="171" fontId="5" fillId="0" borderId="6" xfId="2" applyNumberFormat="1" applyFont="1" applyFill="1" applyBorder="1" applyAlignment="1">
      <alignment vertical="center"/>
    </xf>
    <xf numFmtId="166" fontId="5" fillId="0" borderId="9" xfId="0" applyNumberFormat="1" applyFont="1" applyBorder="1" applyAlignment="1">
      <alignment horizontal="center" vertical="center"/>
    </xf>
    <xf numFmtId="171" fontId="5" fillId="0" borderId="0" xfId="0" applyNumberFormat="1" applyFont="1" applyAlignment="1">
      <alignment vertical="center"/>
    </xf>
    <xf numFmtId="168" fontId="5" fillId="0" borderId="9" xfId="0" applyNumberFormat="1" applyFont="1" applyBorder="1" applyAlignment="1">
      <alignment vertical="center"/>
    </xf>
    <xf numFmtId="171" fontId="5" fillId="0" borderId="6" xfId="2" applyNumberFormat="1" applyFont="1" applyBorder="1"/>
    <xf numFmtId="171" fontId="5" fillId="0" borderId="6" xfId="2" applyNumberFormat="1" applyFont="1" applyBorder="1" applyAlignment="1">
      <alignment vertical="center"/>
    </xf>
    <xf numFmtId="170" fontId="5" fillId="0" borderId="6" xfId="0" applyNumberFormat="1" applyFont="1" applyBorder="1" applyAlignment="1">
      <alignment vertical="center"/>
    </xf>
    <xf numFmtId="171" fontId="4" fillId="0" borderId="0" xfId="2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2" fillId="0" borderId="6" xfId="0" applyFont="1" applyBorder="1" applyAlignment="1">
      <alignment vertical="center"/>
    </xf>
    <xf numFmtId="171" fontId="5" fillId="0" borderId="5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66" fontId="5" fillId="0" borderId="6" xfId="0" applyNumberFormat="1" applyFont="1" applyBorder="1" applyAlignment="1">
      <alignment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71" fontId="5" fillId="0" borderId="10" xfId="2" applyNumberFormat="1" applyFont="1" applyBorder="1" applyAlignment="1">
      <alignment horizontal="right" vertical="center"/>
    </xf>
    <xf numFmtId="168" fontId="5" fillId="0" borderId="10" xfId="0" applyNumberFormat="1" applyFont="1" applyBorder="1" applyAlignment="1">
      <alignment vertical="center"/>
    </xf>
    <xf numFmtId="170" fontId="5" fillId="0" borderId="6" xfId="0" applyNumberFormat="1" applyFont="1" applyBorder="1" applyAlignment="1">
      <alignment horizontal="center" vertical="center"/>
    </xf>
    <xf numFmtId="165" fontId="4" fillId="0" borderId="0" xfId="0" applyNumberFormat="1" applyFont="1"/>
    <xf numFmtId="14" fontId="3" fillId="0" borderId="0" xfId="0" applyNumberFormat="1" applyFont="1" applyAlignment="1">
      <alignment horizontal="center" vertical="center"/>
    </xf>
    <xf numFmtId="0" fontId="4" fillId="0" borderId="10" xfId="0" applyFont="1" applyBorder="1" applyAlignment="1">
      <alignment vertical="center"/>
    </xf>
    <xf numFmtId="168" fontId="2" fillId="0" borderId="0" xfId="0" applyNumberFormat="1" applyFont="1"/>
    <xf numFmtId="0" fontId="4" fillId="0" borderId="0" xfId="0" applyFont="1"/>
    <xf numFmtId="171" fontId="5" fillId="0" borderId="5" xfId="2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168" fontId="4" fillId="0" borderId="10" xfId="0" applyNumberFormat="1" applyFont="1" applyBorder="1" applyAlignment="1">
      <alignment vertical="center"/>
    </xf>
    <xf numFmtId="171" fontId="4" fillId="0" borderId="6" xfId="2" applyNumberFormat="1" applyFont="1" applyBorder="1"/>
    <xf numFmtId="43" fontId="4" fillId="0" borderId="6" xfId="2" applyFont="1" applyBorder="1" applyAlignment="1">
      <alignment vertical="center"/>
    </xf>
    <xf numFmtId="170" fontId="0" fillId="0" borderId="0" xfId="0" applyNumberFormat="1"/>
    <xf numFmtId="170" fontId="4" fillId="0" borderId="6" xfId="0" applyNumberFormat="1" applyFont="1" applyBorder="1" applyAlignment="1">
      <alignment horizontal="center" vertical="center"/>
    </xf>
    <xf numFmtId="171" fontId="4" fillId="0" borderId="10" xfId="2" applyNumberFormat="1" applyFont="1" applyBorder="1" applyAlignment="1">
      <alignment vertical="center"/>
    </xf>
    <xf numFmtId="0" fontId="4" fillId="0" borderId="6" xfId="0" applyFont="1" applyBorder="1"/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0" borderId="6" xfId="0" quotePrefix="1" applyFont="1" applyBorder="1" applyAlignment="1">
      <alignment vertical="center"/>
    </xf>
    <xf numFmtId="170" fontId="0" fillId="0" borderId="6" xfId="0" applyNumberFormat="1" applyBorder="1" applyAlignment="1">
      <alignment vertical="center"/>
    </xf>
    <xf numFmtId="168" fontId="0" fillId="4" borderId="5" xfId="0" applyNumberFormat="1" applyFill="1" applyBorder="1" applyAlignment="1">
      <alignment vertical="center"/>
    </xf>
    <xf numFmtId="168" fontId="0" fillId="4" borderId="6" xfId="0" applyNumberFormat="1" applyFill="1" applyBorder="1" applyAlignment="1">
      <alignment vertical="center"/>
    </xf>
    <xf numFmtId="171" fontId="5" fillId="0" borderId="6" xfId="2" applyNumberFormat="1" applyFont="1" applyBorder="1" applyAlignment="1">
      <alignment horizontal="right" vertical="center"/>
    </xf>
    <xf numFmtId="171" fontId="5" fillId="0" borderId="6" xfId="2" applyNumberFormat="1" applyFont="1" applyFill="1" applyBorder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171" fontId="5" fillId="0" borderId="5" xfId="2" applyNumberFormat="1" applyFont="1" applyBorder="1"/>
    <xf numFmtId="15" fontId="5" fillId="0" borderId="5" xfId="0" applyNumberFormat="1" applyFont="1" applyBorder="1"/>
    <xf numFmtId="166" fontId="4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168" fontId="4" fillId="2" borderId="6" xfId="0" applyNumberFormat="1" applyFont="1" applyFill="1" applyBorder="1" applyAlignment="1">
      <alignment horizontal="right" vertical="center"/>
    </xf>
    <xf numFmtId="168" fontId="5" fillId="2" borderId="6" xfId="0" applyNumberFormat="1" applyFont="1" applyFill="1" applyBorder="1"/>
    <xf numFmtId="171" fontId="5" fillId="0" borderId="4" xfId="2" applyNumberFormat="1" applyFont="1" applyBorder="1" applyAlignment="1">
      <alignment vertical="center"/>
    </xf>
    <xf numFmtId="171" fontId="5" fillId="0" borderId="10" xfId="2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166" fontId="4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68" fontId="4" fillId="0" borderId="9" xfId="0" applyNumberFormat="1" applyFont="1" applyBorder="1" applyAlignment="1">
      <alignment vertical="center"/>
    </xf>
    <xf numFmtId="168" fontId="5" fillId="2" borderId="9" xfId="0" applyNumberFormat="1" applyFont="1" applyFill="1" applyBorder="1" applyAlignment="1">
      <alignment vertical="center"/>
    </xf>
    <xf numFmtId="15" fontId="5" fillId="0" borderId="5" xfId="0" applyNumberFormat="1" applyFont="1" applyBorder="1" applyAlignment="1">
      <alignment vertical="center"/>
    </xf>
    <xf numFmtId="164" fontId="4" fillId="0" borderId="6" xfId="1" applyFont="1" applyBorder="1" applyAlignment="1">
      <alignment vertical="center"/>
    </xf>
    <xf numFmtId="168" fontId="5" fillId="2" borderId="4" xfId="0" applyNumberFormat="1" applyFont="1" applyFill="1" applyBorder="1" applyAlignment="1">
      <alignment vertical="center"/>
    </xf>
    <xf numFmtId="168" fontId="5" fillId="0" borderId="4" xfId="0" applyNumberFormat="1" applyFont="1" applyBorder="1" applyAlignment="1">
      <alignment vertical="center"/>
    </xf>
    <xf numFmtId="16" fontId="4" fillId="0" borderId="6" xfId="0" applyNumberFormat="1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center" vertical="center"/>
    </xf>
    <xf numFmtId="168" fontId="0" fillId="0" borderId="5" xfId="0" applyNumberFormat="1" applyBorder="1" applyAlignment="1">
      <alignment vertical="center"/>
    </xf>
    <xf numFmtId="164" fontId="5" fillId="0" borderId="6" xfId="1" applyFont="1" applyBorder="1" applyAlignment="1">
      <alignment vertical="center"/>
    </xf>
    <xf numFmtId="171" fontId="4" fillId="0" borderId="11" xfId="2" applyNumberFormat="1" applyFont="1" applyBorder="1" applyAlignment="1">
      <alignment horizontal="center" vertical="center"/>
    </xf>
    <xf numFmtId="171" fontId="4" fillId="0" borderId="2" xfId="2" applyNumberFormat="1" applyFont="1" applyFill="1" applyBorder="1" applyAlignment="1">
      <alignment vertical="center"/>
    </xf>
    <xf numFmtId="164" fontId="0" fillId="0" borderId="0" xfId="1" applyFont="1"/>
    <xf numFmtId="171" fontId="5" fillId="0" borderId="9" xfId="2" applyNumberFormat="1" applyFont="1" applyFill="1" applyBorder="1" applyAlignment="1">
      <alignment vertical="center"/>
    </xf>
    <xf numFmtId="171" fontId="4" fillId="0" borderId="9" xfId="2" applyNumberFormat="1" applyFont="1" applyFill="1" applyBorder="1" applyAlignment="1">
      <alignment vertical="center"/>
    </xf>
    <xf numFmtId="168" fontId="0" fillId="0" borderId="10" xfId="0" applyNumberFormat="1" applyBorder="1" applyAlignment="1">
      <alignment vertical="center"/>
    </xf>
    <xf numFmtId="166" fontId="4" fillId="0" borderId="6" xfId="0" quotePrefix="1" applyNumberFormat="1" applyFont="1" applyBorder="1" applyAlignment="1">
      <alignment vertical="center"/>
    </xf>
    <xf numFmtId="166" fontId="4" fillId="0" borderId="5" xfId="0" quotePrefix="1" applyNumberFormat="1" applyFont="1" applyBorder="1" applyAlignment="1">
      <alignment vertical="center"/>
    </xf>
    <xf numFmtId="16" fontId="0" fillId="0" borderId="6" xfId="0" applyNumberFormat="1" applyBorder="1" applyAlignment="1">
      <alignment horizontal="center" vertical="center"/>
    </xf>
    <xf numFmtId="168" fontId="4" fillId="0" borderId="2" xfId="0" applyNumberFormat="1" applyFont="1" applyBorder="1" applyAlignment="1">
      <alignment horizontal="right" vertical="center"/>
    </xf>
    <xf numFmtId="41" fontId="0" fillId="0" borderId="6" xfId="0" applyNumberFormat="1" applyBorder="1" applyAlignment="1">
      <alignment vertical="center"/>
    </xf>
    <xf numFmtId="15" fontId="0" fillId="0" borderId="6" xfId="0" applyNumberForma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166" fontId="4" fillId="0" borderId="9" xfId="0" quotePrefix="1" applyNumberFormat="1" applyFont="1" applyBorder="1" applyAlignment="1">
      <alignment vertical="center"/>
    </xf>
    <xf numFmtId="164" fontId="0" fillId="0" borderId="0" xfId="0" applyNumberFormat="1"/>
    <xf numFmtId="16" fontId="3" fillId="0" borderId="6" xfId="0" applyNumberFormat="1" applyFont="1" applyBorder="1" applyAlignment="1">
      <alignment horizontal="center" vertical="center"/>
    </xf>
    <xf numFmtId="166" fontId="4" fillId="2" borderId="6" xfId="0" quotePrefix="1" applyNumberFormat="1" applyFont="1" applyFill="1" applyBorder="1" applyAlignment="1">
      <alignment vertical="center"/>
    </xf>
    <xf numFmtId="171" fontId="5" fillId="0" borderId="4" xfId="2" applyNumberFormat="1" applyFont="1" applyBorder="1"/>
    <xf numFmtId="171" fontId="5" fillId="0" borderId="10" xfId="2" applyNumberFormat="1" applyFont="1" applyBorder="1"/>
    <xf numFmtId="171" fontId="5" fillId="0" borderId="9" xfId="2" applyNumberFormat="1" applyFont="1" applyBorder="1"/>
    <xf numFmtId="166" fontId="4" fillId="0" borderId="10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vertical="center"/>
    </xf>
    <xf numFmtId="168" fontId="4" fillId="0" borderId="10" xfId="0" applyNumberFormat="1" applyFont="1" applyBorder="1" applyAlignment="1">
      <alignment horizontal="right" vertical="center"/>
    </xf>
    <xf numFmtId="171" fontId="4" fillId="0" borderId="4" xfId="2" applyNumberFormat="1" applyFont="1" applyBorder="1" applyAlignment="1">
      <alignment horizontal="center" vertical="center"/>
    </xf>
    <xf numFmtId="171" fontId="5" fillId="0" borderId="4" xfId="2" applyNumberFormat="1" applyFont="1" applyBorder="1" applyAlignment="1">
      <alignment horizontal="center" vertical="center"/>
    </xf>
    <xf numFmtId="166" fontId="4" fillId="0" borderId="10" xfId="0" quotePrefix="1" applyNumberFormat="1" applyFont="1" applyBorder="1" applyAlignment="1">
      <alignment vertical="center"/>
    </xf>
    <xf numFmtId="173" fontId="13" fillId="0" borderId="0" xfId="0" applyNumberFormat="1" applyFont="1" applyAlignment="1">
      <alignment horizontal="left" vertical="center"/>
    </xf>
    <xf numFmtId="171" fontId="0" fillId="0" borderId="6" xfId="0" applyNumberFormat="1" applyBorder="1" applyAlignment="1">
      <alignment vertical="center"/>
    </xf>
    <xf numFmtId="171" fontId="4" fillId="0" borderId="0" xfId="0" applyNumberFormat="1" applyFont="1" applyAlignment="1">
      <alignment horizontal="right" vertical="center"/>
    </xf>
    <xf numFmtId="168" fontId="11" fillId="2" borderId="4" xfId="0" applyNumberFormat="1" applyFont="1" applyFill="1" applyBorder="1" applyAlignment="1">
      <alignment vertical="center"/>
    </xf>
    <xf numFmtId="168" fontId="11" fillId="2" borderId="2" xfId="0" applyNumberFormat="1" applyFont="1" applyFill="1" applyBorder="1" applyAlignment="1">
      <alignment vertical="center"/>
    </xf>
    <xf numFmtId="168" fontId="8" fillId="0" borderId="9" xfId="0" applyNumberFormat="1" applyFont="1" applyBorder="1" applyAlignment="1">
      <alignment horizontal="right" vertical="center"/>
    </xf>
    <xf numFmtId="171" fontId="0" fillId="0" borderId="6" xfId="2" applyNumberFormat="1" applyFont="1" applyBorder="1" applyAlignment="1">
      <alignment vertical="center"/>
    </xf>
    <xf numFmtId="171" fontId="1" fillId="0" borderId="6" xfId="2" applyNumberFormat="1" applyFont="1" applyBorder="1" applyAlignment="1">
      <alignment vertical="center"/>
    </xf>
    <xf numFmtId="171" fontId="5" fillId="0" borderId="2" xfId="2" applyNumberFormat="1" applyFont="1" applyBorder="1" applyAlignment="1">
      <alignment vertical="center"/>
    </xf>
    <xf numFmtId="166" fontId="4" fillId="0" borderId="2" xfId="0" quotePrefix="1" applyNumberFormat="1" applyFont="1" applyBorder="1" applyAlignment="1">
      <alignment vertical="center"/>
    </xf>
    <xf numFmtId="43" fontId="0" fillId="0" borderId="0" xfId="0" applyNumberFormat="1"/>
    <xf numFmtId="0" fontId="2" fillId="0" borderId="0" xfId="0" applyFont="1"/>
    <xf numFmtId="43" fontId="2" fillId="0" borderId="0" xfId="0" applyNumberFormat="1" applyFont="1"/>
    <xf numFmtId="16" fontId="3" fillId="0" borderId="5" xfId="0" applyNumberFormat="1" applyFont="1" applyBorder="1" applyAlignment="1">
      <alignment horizontal="center" vertical="center"/>
    </xf>
    <xf numFmtId="16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5" fontId="5" fillId="0" borderId="6" xfId="0" applyNumberFormat="1" applyFont="1" applyBorder="1" applyAlignment="1">
      <alignment horizontal="center" vertical="center"/>
    </xf>
    <xf numFmtId="168" fontId="5" fillId="0" borderId="10" xfId="0" applyNumberFormat="1" applyFont="1" applyBorder="1"/>
    <xf numFmtId="15" fontId="5" fillId="0" borderId="10" xfId="0" applyNumberFormat="1" applyFont="1" applyBorder="1"/>
    <xf numFmtId="171" fontId="5" fillId="0" borderId="2" xfId="2" applyNumberFormat="1" applyFont="1" applyBorder="1"/>
    <xf numFmtId="168" fontId="4" fillId="0" borderId="4" xfId="0" applyNumberFormat="1" applyFont="1" applyBorder="1"/>
    <xf numFmtId="171" fontId="4" fillId="0" borderId="4" xfId="2" applyNumberFormat="1" applyFont="1" applyBorder="1"/>
    <xf numFmtId="166" fontId="4" fillId="0" borderId="6" xfId="0" quotePrefix="1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8" fontId="4" fillId="0" borderId="9" xfId="0" applyNumberFormat="1" applyFont="1" applyBorder="1" applyAlignment="1">
      <alignment horizontal="right" vertical="center"/>
    </xf>
    <xf numFmtId="168" fontId="14" fillId="0" borderId="9" xfId="0" applyNumberFormat="1" applyFont="1" applyBorder="1" applyAlignment="1">
      <alignment horizontal="right" vertical="center"/>
    </xf>
    <xf numFmtId="168" fontId="3" fillId="0" borderId="9" xfId="0" applyNumberFormat="1" applyFont="1" applyBorder="1" applyAlignment="1">
      <alignment vertical="center"/>
    </xf>
    <xf numFmtId="171" fontId="4" fillId="0" borderId="9" xfId="2" applyNumberFormat="1" applyFont="1" applyBorder="1" applyAlignment="1">
      <alignment horizontal="center" vertical="center"/>
    </xf>
    <xf numFmtId="171" fontId="5" fillId="0" borderId="9" xfId="2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1" fontId="5" fillId="0" borderId="9" xfId="2" applyNumberFormat="1" applyFont="1" applyBorder="1" applyAlignment="1">
      <alignment vertical="center"/>
    </xf>
    <xf numFmtId="171" fontId="4" fillId="0" borderId="2" xfId="0" applyNumberFormat="1" applyFont="1" applyBorder="1" applyAlignment="1">
      <alignment vertical="center"/>
    </xf>
    <xf numFmtId="171" fontId="4" fillId="0" borderId="9" xfId="0" applyNumberFormat="1" applyFont="1" applyBorder="1" applyAlignment="1">
      <alignment horizontal="right" vertical="center"/>
    </xf>
    <xf numFmtId="171" fontId="4" fillId="0" borderId="9" xfId="0" applyNumberFormat="1" applyFont="1" applyBorder="1" applyAlignment="1">
      <alignment vertical="center"/>
    </xf>
    <xf numFmtId="171" fontId="4" fillId="0" borderId="9" xfId="1" applyNumberFormat="1" applyFont="1" applyBorder="1" applyAlignment="1">
      <alignment horizontal="right" vertical="center"/>
    </xf>
    <xf numFmtId="171" fontId="4" fillId="2" borderId="9" xfId="0" applyNumberFormat="1" applyFont="1" applyFill="1" applyBorder="1" applyAlignment="1">
      <alignment vertical="center"/>
    </xf>
    <xf numFmtId="171" fontId="4" fillId="0" borderId="9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16" fontId="3" fillId="0" borderId="0" xfId="0" applyNumberFormat="1" applyFont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169" fontId="9" fillId="3" borderId="1" xfId="0" applyNumberFormat="1" applyFont="1" applyFill="1" applyBorder="1" applyAlignment="1">
      <alignment horizontal="center" vertical="center" wrapText="1"/>
    </xf>
    <xf numFmtId="169" fontId="9" fillId="3" borderId="4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9" fontId="9" fillId="3" borderId="3" xfId="0" applyNumberFormat="1" applyFont="1" applyFill="1" applyBorder="1" applyAlignment="1">
      <alignment horizontal="center" vertical="center" wrapText="1"/>
    </xf>
  </cellXfs>
  <cellStyles count="4">
    <cellStyle name="Comma" xfId="2" builtinId="3"/>
    <cellStyle name="Comma [0]" xfId="1" builtinId="6"/>
    <cellStyle name="Comma 2" xfId="3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3</xdr:col>
      <xdr:colOff>28575</xdr:colOff>
      <xdr:row>73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F2A642-1A80-4D45-B47B-3603EF842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00875"/>
          <a:ext cx="4343400" cy="754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4" sqref="B4"/>
    </sheetView>
  </sheetViews>
  <sheetFormatPr defaultRowHeight="15" x14ac:dyDescent="0.25"/>
  <cols>
    <col min="3" max="3" width="16.42578125" customWidth="1"/>
    <col min="4" max="4" width="16.140625" customWidth="1"/>
    <col min="5" max="5" width="15.7109375" customWidth="1"/>
    <col min="6" max="6" width="17.28515625" customWidth="1"/>
    <col min="7" max="7" width="14.42578125" customWidth="1"/>
    <col min="8" max="8" width="16.42578125" customWidth="1"/>
    <col min="10" max="10" width="10.140625" bestFit="1" customWidth="1"/>
  </cols>
  <sheetData>
    <row r="1" spans="2:8" ht="21" x14ac:dyDescent="0.35">
      <c r="B1" s="284" t="s">
        <v>35</v>
      </c>
      <c r="C1" s="284"/>
      <c r="D1" s="284"/>
      <c r="E1" s="284"/>
      <c r="F1" s="284"/>
      <c r="G1" s="284"/>
      <c r="H1" s="284"/>
    </row>
    <row r="2" spans="2:8" ht="21" x14ac:dyDescent="0.35">
      <c r="B2" s="284" t="s">
        <v>33</v>
      </c>
      <c r="C2" s="284"/>
      <c r="D2" s="284"/>
      <c r="E2" s="284"/>
      <c r="F2" s="284"/>
      <c r="G2" s="284"/>
      <c r="H2" s="284"/>
    </row>
    <row r="3" spans="2:8" ht="21" x14ac:dyDescent="0.35">
      <c r="B3" s="284" t="s">
        <v>36</v>
      </c>
      <c r="C3" s="284"/>
      <c r="D3" s="284"/>
      <c r="E3" s="284"/>
      <c r="F3" s="284"/>
      <c r="G3" s="284"/>
      <c r="H3" s="284"/>
    </row>
    <row r="5" spans="2:8" ht="22.5" x14ac:dyDescent="0.25">
      <c r="B5" s="283" t="s">
        <v>12</v>
      </c>
      <c r="C5" s="283" t="s">
        <v>11</v>
      </c>
      <c r="D5" s="282" t="s">
        <v>1</v>
      </c>
      <c r="E5" s="282"/>
      <c r="F5" s="282"/>
      <c r="G5" s="282"/>
      <c r="H5" s="282"/>
    </row>
    <row r="6" spans="2:8" ht="15.75" x14ac:dyDescent="0.25">
      <c r="B6" s="283"/>
      <c r="C6" s="283"/>
      <c r="D6" s="38" t="s">
        <v>6</v>
      </c>
      <c r="E6" s="38" t="s">
        <v>5</v>
      </c>
      <c r="F6" s="39" t="s">
        <v>7</v>
      </c>
      <c r="G6" s="39" t="s">
        <v>8</v>
      </c>
      <c r="H6" s="39" t="s">
        <v>0</v>
      </c>
    </row>
    <row r="7" spans="2:8" ht="4.5" customHeight="1" x14ac:dyDescent="0.25">
      <c r="D7" s="15"/>
      <c r="E7" s="19"/>
      <c r="F7" s="15"/>
      <c r="G7" s="19"/>
      <c r="H7" s="42"/>
    </row>
    <row r="8" spans="2:8" s="4" customFormat="1" ht="23.25" customHeight="1" x14ac:dyDescent="0.25">
      <c r="B8" s="43">
        <v>1</v>
      </c>
      <c r="C8" s="55" t="s">
        <v>10</v>
      </c>
      <c r="D8" s="56">
        <f>'INV JANUARI'!D43</f>
        <v>33810000</v>
      </c>
      <c r="E8" s="56">
        <f>'INV JANUARI'!E43</f>
        <v>9750000</v>
      </c>
      <c r="F8" s="56">
        <f>'INV JANUARI'!F43</f>
        <v>2417715416</v>
      </c>
      <c r="G8" s="56">
        <f>'INV JANUARI'!G43</f>
        <v>14600000</v>
      </c>
      <c r="H8" s="57">
        <f>SUM(D8:G8)</f>
        <v>2475875416</v>
      </c>
    </row>
    <row r="9" spans="2:8" s="4" customFormat="1" ht="23.25" customHeight="1" x14ac:dyDescent="0.25">
      <c r="B9" s="43">
        <v>2</v>
      </c>
      <c r="C9" s="55" t="s">
        <v>13</v>
      </c>
      <c r="D9" s="56">
        <f>'INV FEBRUARI'!D34</f>
        <v>12000000</v>
      </c>
      <c r="E9" s="56">
        <f>'INV FEBRUARI'!E34</f>
        <v>274285000</v>
      </c>
      <c r="F9" s="56">
        <f>'INV FEBRUARI'!F34</f>
        <v>1182031993.2432432</v>
      </c>
      <c r="G9" s="56">
        <f>'INV FEBRUARI'!G34</f>
        <v>0</v>
      </c>
      <c r="H9" s="57">
        <f>SUM(D9:G9)</f>
        <v>1468316993.2432432</v>
      </c>
    </row>
    <row r="10" spans="2:8" s="4" customFormat="1" ht="23.25" customHeight="1" x14ac:dyDescent="0.25">
      <c r="B10" s="43">
        <v>3</v>
      </c>
      <c r="C10" s="55" t="s">
        <v>15</v>
      </c>
      <c r="D10" s="56">
        <f>'INV MARET'!D30</f>
        <v>71830000</v>
      </c>
      <c r="E10" s="56">
        <f>'INV MARET'!E30</f>
        <v>0</v>
      </c>
      <c r="F10" s="56">
        <f>'INV MARET'!F30</f>
        <v>157800000</v>
      </c>
      <c r="G10" s="62">
        <f>'INV MARET'!G30</f>
        <v>0</v>
      </c>
      <c r="H10" s="57">
        <f>SUM(D10:G10)</f>
        <v>229630000</v>
      </c>
    </row>
    <row r="11" spans="2:8" s="4" customFormat="1" ht="23.25" customHeight="1" x14ac:dyDescent="0.25">
      <c r="B11" s="43">
        <v>4</v>
      </c>
      <c r="C11" s="55" t="s">
        <v>16</v>
      </c>
      <c r="D11" s="56">
        <f>'INV APRIL'!D28</f>
        <v>25000000</v>
      </c>
      <c r="E11" s="56">
        <f>'INV APRIL'!E28</f>
        <v>0</v>
      </c>
      <c r="F11" s="56">
        <f>'INV APRIL'!F28</f>
        <v>2385953740</v>
      </c>
      <c r="G11" s="56">
        <f>'INV APRIL'!G28</f>
        <v>0</v>
      </c>
      <c r="H11" s="57">
        <f t="shared" ref="H11:H19" si="0">SUM(D11:G11)</f>
        <v>2410953740</v>
      </c>
    </row>
    <row r="12" spans="2:8" s="4" customFormat="1" ht="23.25" customHeight="1" x14ac:dyDescent="0.25">
      <c r="B12" s="43">
        <v>5</v>
      </c>
      <c r="C12" s="55" t="s">
        <v>17</v>
      </c>
      <c r="D12" s="56">
        <f>'INV MEI'!D19</f>
        <v>0</v>
      </c>
      <c r="E12" s="56">
        <f>'INV MEI'!E19</f>
        <v>0</v>
      </c>
      <c r="F12" s="56">
        <f>'INV MEI'!F19</f>
        <v>213920500</v>
      </c>
      <c r="G12" s="56">
        <f>'INV MEI'!G19</f>
        <v>0</v>
      </c>
      <c r="H12" s="57">
        <f>SUM(D12:G12)</f>
        <v>213920500</v>
      </c>
    </row>
    <row r="13" spans="2:8" s="4" customFormat="1" ht="23.25" customHeight="1" x14ac:dyDescent="0.25">
      <c r="B13" s="43">
        <v>6</v>
      </c>
      <c r="C13" s="55" t="s">
        <v>18</v>
      </c>
      <c r="D13" s="56">
        <f>'INV JUNI'!D21</f>
        <v>3250000</v>
      </c>
      <c r="E13" s="56">
        <f>'INV JUNI'!E21</f>
        <v>0</v>
      </c>
      <c r="F13" s="56">
        <f>'INV JUNI'!F21</f>
        <v>412206650</v>
      </c>
      <c r="G13" s="56">
        <f>'INV JUNI'!G21</f>
        <v>0</v>
      </c>
      <c r="H13" s="57">
        <f t="shared" si="0"/>
        <v>415456650</v>
      </c>
    </row>
    <row r="14" spans="2:8" s="4" customFormat="1" ht="23.25" customHeight="1" x14ac:dyDescent="0.25">
      <c r="B14" s="43">
        <v>7</v>
      </c>
      <c r="C14" s="55" t="s">
        <v>19</v>
      </c>
      <c r="D14" s="56">
        <f>'INV JULI'!D21</f>
        <v>2330000</v>
      </c>
      <c r="E14" s="56">
        <f>'INV JULI'!E21</f>
        <v>0</v>
      </c>
      <c r="F14" s="56">
        <f>'INV JULI'!F21</f>
        <v>924958315</v>
      </c>
      <c r="G14" s="56">
        <f>'INV JULI'!G21</f>
        <v>0</v>
      </c>
      <c r="H14" s="57">
        <f t="shared" si="0"/>
        <v>927288315</v>
      </c>
    </row>
    <row r="15" spans="2:8" s="4" customFormat="1" ht="23.25" customHeight="1" x14ac:dyDescent="0.25">
      <c r="B15" s="43">
        <v>8</v>
      </c>
      <c r="C15" s="55" t="s">
        <v>20</v>
      </c>
      <c r="D15" s="56">
        <f>'INV AGUSTUS'!D19</f>
        <v>0</v>
      </c>
      <c r="E15" s="56">
        <f>'INV AGUSTUS'!E19</f>
        <v>0</v>
      </c>
      <c r="F15" s="56">
        <f>'INV AGUSTUS'!F19</f>
        <v>777944300</v>
      </c>
      <c r="G15" s="56">
        <f>'INV AGUSTUS'!G19</f>
        <v>0</v>
      </c>
      <c r="H15" s="57">
        <f t="shared" si="0"/>
        <v>777944300</v>
      </c>
    </row>
    <row r="16" spans="2:8" s="4" customFormat="1" ht="23.25" customHeight="1" x14ac:dyDescent="0.25">
      <c r="B16" s="43">
        <v>9</v>
      </c>
      <c r="C16" s="55" t="s">
        <v>21</v>
      </c>
      <c r="D16" s="56">
        <f>'INV SEPTEMBER'!D19</f>
        <v>145600000</v>
      </c>
      <c r="E16" s="56">
        <f>'INV SEPTEMBER'!E19</f>
        <v>52046500</v>
      </c>
      <c r="F16" s="56">
        <f>'INV SEPTEMBER'!F19</f>
        <v>137618875</v>
      </c>
      <c r="G16" s="56">
        <f>'INV SEPTEMBER'!G19</f>
        <v>0</v>
      </c>
      <c r="H16" s="57">
        <f>SUM(D16:G16)</f>
        <v>335265375</v>
      </c>
    </row>
    <row r="17" spans="2:10" s="4" customFormat="1" ht="23.25" customHeight="1" x14ac:dyDescent="0.25">
      <c r="B17" s="43">
        <v>10</v>
      </c>
      <c r="C17" s="55" t="s">
        <v>22</v>
      </c>
      <c r="D17" s="56">
        <f>'INV OKTOBER'!D28</f>
        <v>1200000</v>
      </c>
      <c r="E17" s="56">
        <f>'INV OKTOBER'!E28</f>
        <v>0</v>
      </c>
      <c r="F17" s="56">
        <f>'INV OKTOBER'!F28</f>
        <v>527452500</v>
      </c>
      <c r="G17" s="56">
        <f>'INV OKTOBER'!G28</f>
        <v>0</v>
      </c>
      <c r="H17" s="57">
        <f>SUM(D17:G17)</f>
        <v>528652500</v>
      </c>
    </row>
    <row r="18" spans="2:10" s="4" customFormat="1" ht="23.25" customHeight="1" x14ac:dyDescent="0.25">
      <c r="B18" s="43">
        <v>11</v>
      </c>
      <c r="C18" s="55" t="s">
        <v>23</v>
      </c>
      <c r="D18" s="56">
        <f>'INV NOVEMBER'!D29</f>
        <v>47936406.399999999</v>
      </c>
      <c r="E18" s="56">
        <f>'INV NOVEMBER'!E29</f>
        <v>32985000</v>
      </c>
      <c r="F18" s="56">
        <f>'INV NOVEMBER'!F29</f>
        <v>876355468.60000002</v>
      </c>
      <c r="G18" s="56">
        <f>'INV NOVEMBER'!G29</f>
        <v>0</v>
      </c>
      <c r="H18" s="57">
        <f t="shared" si="0"/>
        <v>957276875</v>
      </c>
    </row>
    <row r="19" spans="2:10" s="4" customFormat="1" ht="23.25" customHeight="1" x14ac:dyDescent="0.25">
      <c r="B19" s="43">
        <v>12</v>
      </c>
      <c r="C19" s="55" t="s">
        <v>24</v>
      </c>
      <c r="D19" s="56">
        <f>'INV DESEMBER'!D38</f>
        <v>91900000</v>
      </c>
      <c r="E19" s="56">
        <f>'INV DESEMBER'!E38</f>
        <v>12000000</v>
      </c>
      <c r="F19" s="56">
        <f>'INV DESEMBER'!F38</f>
        <v>3178322500</v>
      </c>
      <c r="G19" s="56">
        <f>'INV DESEMBER'!G38</f>
        <v>0</v>
      </c>
      <c r="H19" s="57">
        <f t="shared" si="0"/>
        <v>3282222500</v>
      </c>
    </row>
    <row r="20" spans="2:10" ht="23.25" customHeight="1" x14ac:dyDescent="0.25">
      <c r="B20" s="54"/>
      <c r="C20" s="54" t="s">
        <v>14</v>
      </c>
      <c r="D20" s="53">
        <f>SUM(D8:D19)</f>
        <v>434856406.39999998</v>
      </c>
      <c r="E20" s="53">
        <f t="shared" ref="E20:H20" si="1">SUM(E8:E19)</f>
        <v>381066500</v>
      </c>
      <c r="F20" s="53">
        <f t="shared" si="1"/>
        <v>13192280257.843245</v>
      </c>
      <c r="G20" s="53">
        <f t="shared" si="1"/>
        <v>14600000</v>
      </c>
      <c r="H20" s="53">
        <f t="shared" si="1"/>
        <v>14022803164.243244</v>
      </c>
    </row>
    <row r="23" spans="2:10" x14ac:dyDescent="0.25">
      <c r="H23" s="219"/>
      <c r="J23" s="219"/>
    </row>
    <row r="24" spans="2:10" x14ac:dyDescent="0.25">
      <c r="J24" s="219"/>
    </row>
    <row r="25" spans="2:10" x14ac:dyDescent="0.25">
      <c r="H25" s="231"/>
      <c r="J25" s="219"/>
    </row>
    <row r="26" spans="2:10" x14ac:dyDescent="0.25">
      <c r="J26" s="219"/>
    </row>
    <row r="27" spans="2:10" x14ac:dyDescent="0.25">
      <c r="J27" s="219"/>
    </row>
    <row r="28" spans="2:10" x14ac:dyDescent="0.25">
      <c r="J28" s="219"/>
    </row>
    <row r="29" spans="2:10" x14ac:dyDescent="0.25">
      <c r="J29" s="231"/>
    </row>
  </sheetData>
  <mergeCells count="6">
    <mergeCell ref="D5:H5"/>
    <mergeCell ref="C5:C6"/>
    <mergeCell ref="B5:B6"/>
    <mergeCell ref="B1:H1"/>
    <mergeCell ref="B2:H2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1"/>
  <sheetViews>
    <sheetView workbookViewId="0">
      <pane ySplit="5" topLeftCell="A17" activePane="bottomLeft" state="frozen"/>
      <selection pane="bottomLeft" activeCell="N35" sqref="N35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2.85546875" bestFit="1" customWidth="1"/>
    <col min="4" max="4" width="13.5703125" bestFit="1" customWidth="1"/>
    <col min="5" max="5" width="14.28515625" customWidth="1"/>
    <col min="6" max="6" width="17.42578125" bestFit="1" customWidth="1"/>
    <col min="7" max="7" width="12.425781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4.85546875" customWidth="1"/>
    <col min="12" max="12" width="13.42578125" customWidth="1"/>
    <col min="13" max="13" width="16.85546875" bestFit="1" customWidth="1"/>
    <col min="14" max="14" width="14.7109375" style="176" bestFit="1" customWidth="1"/>
    <col min="15" max="15" width="4.7109375" customWidth="1"/>
    <col min="16" max="16" width="13.5703125" bestFit="1" customWidth="1"/>
    <col min="17" max="17" width="12.5703125" bestFit="1" customWidth="1"/>
    <col min="18" max="18" width="31" bestFit="1" customWidth="1"/>
    <col min="19" max="19" width="20.140625" bestFit="1" customWidth="1"/>
    <col min="21" max="21" width="10.5703125" bestFit="1" customWidth="1"/>
  </cols>
  <sheetData>
    <row r="1" spans="1:17" ht="19.5" x14ac:dyDescent="0.25">
      <c r="A1" s="2" t="s">
        <v>65</v>
      </c>
      <c r="B1" s="2"/>
      <c r="C1" s="4"/>
      <c r="D1" s="13"/>
      <c r="E1" s="6"/>
      <c r="F1" s="11"/>
      <c r="G1" s="10"/>
    </row>
    <row r="2" spans="1:17" x14ac:dyDescent="0.25">
      <c r="A2" s="4"/>
      <c r="B2" s="4"/>
      <c r="C2" s="4"/>
      <c r="D2" s="195"/>
      <c r="E2" s="6"/>
      <c r="F2" s="4"/>
      <c r="G2" s="10"/>
    </row>
    <row r="3" spans="1:17" x14ac:dyDescent="0.25">
      <c r="A3" s="12" t="s">
        <v>3</v>
      </c>
      <c r="B3" s="4"/>
      <c r="C3" s="4"/>
      <c r="D3" s="13"/>
      <c r="E3" s="6"/>
      <c r="F3" s="4"/>
      <c r="G3" s="10"/>
    </row>
    <row r="4" spans="1:17" ht="22.5" customHeight="1" x14ac:dyDescent="0.25">
      <c r="A4" s="288" t="s">
        <v>2</v>
      </c>
      <c r="B4" s="290" t="s">
        <v>4</v>
      </c>
      <c r="C4" s="288" t="s">
        <v>30</v>
      </c>
      <c r="D4" s="282" t="s">
        <v>1</v>
      </c>
      <c r="E4" s="282"/>
      <c r="F4" s="282"/>
      <c r="G4" s="282"/>
      <c r="H4" s="282"/>
      <c r="I4" s="282"/>
      <c r="J4" s="282"/>
      <c r="L4" s="286" t="s">
        <v>25</v>
      </c>
      <c r="M4" s="286" t="s">
        <v>29</v>
      </c>
      <c r="N4" s="286" t="s">
        <v>26</v>
      </c>
      <c r="P4" s="286" t="s">
        <v>31</v>
      </c>
    </row>
    <row r="5" spans="1:17" ht="15.75" x14ac:dyDescent="0.25">
      <c r="A5" s="289"/>
      <c r="B5" s="291"/>
      <c r="C5" s="289"/>
      <c r="D5" s="38" t="s">
        <v>6</v>
      </c>
      <c r="E5" s="38" t="s">
        <v>5</v>
      </c>
      <c r="F5" s="39" t="s">
        <v>7</v>
      </c>
      <c r="G5" s="39" t="s">
        <v>8</v>
      </c>
      <c r="H5" s="39" t="s">
        <v>0</v>
      </c>
      <c r="I5" s="40" t="s">
        <v>3</v>
      </c>
      <c r="J5" s="40" t="s">
        <v>9</v>
      </c>
      <c r="L5" s="287"/>
      <c r="M5" s="287"/>
      <c r="N5" s="287"/>
      <c r="P5" s="286"/>
    </row>
    <row r="6" spans="1:17" x14ac:dyDescent="0.25">
      <c r="A6" s="33">
        <v>45659</v>
      </c>
      <c r="B6" s="224" t="s">
        <v>66</v>
      </c>
      <c r="C6" s="21" t="s">
        <v>37</v>
      </c>
      <c r="D6" s="22"/>
      <c r="E6" s="23"/>
      <c r="F6" s="22">
        <v>85140000</v>
      </c>
      <c r="G6" s="23"/>
      <c r="H6" s="42">
        <f>SUM(D6:G6)</f>
        <v>85140000</v>
      </c>
      <c r="I6" s="263">
        <f>H6*0.11</f>
        <v>9365400</v>
      </c>
      <c r="J6" s="42">
        <f>H6+I6</f>
        <v>94505400</v>
      </c>
      <c r="L6" s="197">
        <v>45699</v>
      </c>
      <c r="M6" s="234">
        <v>0</v>
      </c>
      <c r="N6" s="196">
        <f t="shared" ref="N6:N21" si="0">J6-M6</f>
        <v>94505400</v>
      </c>
      <c r="P6" s="264">
        <f>J6-M6-N6</f>
        <v>0</v>
      </c>
      <c r="Q6" s="138"/>
    </row>
    <row r="7" spans="1:17" x14ac:dyDescent="0.25">
      <c r="A7" s="237">
        <v>45659</v>
      </c>
      <c r="B7" s="242" t="s">
        <v>67</v>
      </c>
      <c r="C7" s="174" t="s">
        <v>37</v>
      </c>
      <c r="D7" s="239"/>
      <c r="E7" s="179"/>
      <c r="F7" s="239">
        <v>1265660000</v>
      </c>
      <c r="G7" s="179"/>
      <c r="H7" s="41">
        <f>SUM(D7:G7)</f>
        <v>1265660000</v>
      </c>
      <c r="I7" s="29">
        <f>H7*0.11</f>
        <v>139222600</v>
      </c>
      <c r="J7" s="41">
        <f>H7+I7</f>
        <v>1404882600</v>
      </c>
      <c r="L7" s="261">
        <v>45699</v>
      </c>
      <c r="M7" s="157"/>
      <c r="N7" s="235">
        <f t="shared" si="0"/>
        <v>1404882600</v>
      </c>
      <c r="P7" s="180">
        <f>J7-M7-N7</f>
        <v>0</v>
      </c>
      <c r="Q7" s="138"/>
    </row>
    <row r="8" spans="1:17" x14ac:dyDescent="0.25">
      <c r="A8" s="237">
        <v>45659</v>
      </c>
      <c r="B8" s="242" t="s">
        <v>68</v>
      </c>
      <c r="C8" s="174" t="s">
        <v>37</v>
      </c>
      <c r="D8" s="239"/>
      <c r="E8" s="179"/>
      <c r="F8" s="239">
        <v>121880000</v>
      </c>
      <c r="G8" s="179"/>
      <c r="H8" s="41">
        <f>SUM(D8:G8)</f>
        <v>121880000</v>
      </c>
      <c r="I8" s="29">
        <f t="shared" ref="I8:I16" si="1">H8*0.11</f>
        <v>13406800</v>
      </c>
      <c r="J8" s="41">
        <f t="shared" ref="J8:J17" si="2">H8+I8</f>
        <v>135286800</v>
      </c>
      <c r="L8" s="261">
        <v>45699</v>
      </c>
      <c r="M8" s="157"/>
      <c r="N8" s="235">
        <f t="shared" si="0"/>
        <v>135286800</v>
      </c>
      <c r="P8" s="180">
        <f t="shared" ref="P8:P16" si="3">J8-M8-N8</f>
        <v>0</v>
      </c>
      <c r="Q8" s="138"/>
    </row>
    <row r="9" spans="1:17" x14ac:dyDescent="0.25">
      <c r="A9" s="237">
        <v>45659</v>
      </c>
      <c r="B9" s="242" t="s">
        <v>69</v>
      </c>
      <c r="C9" s="174" t="s">
        <v>37</v>
      </c>
      <c r="D9" s="239"/>
      <c r="E9" s="179"/>
      <c r="F9" s="239">
        <v>690000</v>
      </c>
      <c r="G9" s="179"/>
      <c r="H9" s="41">
        <f t="shared" ref="H9:H16" si="4">SUM(D9:G9)</f>
        <v>690000</v>
      </c>
      <c r="I9" s="29">
        <f t="shared" si="1"/>
        <v>75900</v>
      </c>
      <c r="J9" s="41">
        <f t="shared" si="2"/>
        <v>765900</v>
      </c>
      <c r="L9" s="261">
        <v>45699</v>
      </c>
      <c r="M9" s="157"/>
      <c r="N9" s="235">
        <f t="shared" si="0"/>
        <v>765900</v>
      </c>
      <c r="P9" s="180">
        <f t="shared" si="3"/>
        <v>0</v>
      </c>
      <c r="Q9" s="138"/>
    </row>
    <row r="10" spans="1:17" x14ac:dyDescent="0.25">
      <c r="A10" s="237">
        <v>45659</v>
      </c>
      <c r="B10" s="242" t="s">
        <v>70</v>
      </c>
      <c r="C10" s="174" t="s">
        <v>37</v>
      </c>
      <c r="D10" s="239"/>
      <c r="E10" s="179"/>
      <c r="F10" s="239">
        <v>6900000</v>
      </c>
      <c r="G10" s="179"/>
      <c r="H10" s="41">
        <f t="shared" si="4"/>
        <v>6900000</v>
      </c>
      <c r="I10" s="29">
        <f t="shared" si="1"/>
        <v>759000</v>
      </c>
      <c r="J10" s="41">
        <f t="shared" si="2"/>
        <v>7659000</v>
      </c>
      <c r="L10" s="261">
        <v>45699</v>
      </c>
      <c r="M10" s="157"/>
      <c r="N10" s="235">
        <f t="shared" si="0"/>
        <v>7659000</v>
      </c>
      <c r="P10" s="180">
        <f t="shared" si="3"/>
        <v>0</v>
      </c>
      <c r="Q10" s="138"/>
    </row>
    <row r="11" spans="1:17" x14ac:dyDescent="0.25">
      <c r="A11" s="237">
        <v>45659</v>
      </c>
      <c r="B11" s="242" t="s">
        <v>71</v>
      </c>
      <c r="C11" s="174" t="s">
        <v>37</v>
      </c>
      <c r="D11" s="239"/>
      <c r="E11" s="179"/>
      <c r="F11" s="239">
        <v>6210000</v>
      </c>
      <c r="G11" s="179"/>
      <c r="H11" s="41">
        <f t="shared" si="4"/>
        <v>6210000</v>
      </c>
      <c r="I11" s="29">
        <f t="shared" si="1"/>
        <v>683100</v>
      </c>
      <c r="J11" s="41">
        <f t="shared" si="2"/>
        <v>6893100</v>
      </c>
      <c r="L11" s="261">
        <v>45699</v>
      </c>
      <c r="M11" s="157"/>
      <c r="N11" s="235">
        <f t="shared" si="0"/>
        <v>6893100</v>
      </c>
      <c r="P11" s="180">
        <f t="shared" si="3"/>
        <v>0</v>
      </c>
      <c r="Q11" s="138"/>
    </row>
    <row r="12" spans="1:17" x14ac:dyDescent="0.25">
      <c r="A12" s="237">
        <v>45659</v>
      </c>
      <c r="B12" s="242" t="s">
        <v>72</v>
      </c>
      <c r="C12" s="174" t="s">
        <v>37</v>
      </c>
      <c r="D12" s="239"/>
      <c r="E12" s="179"/>
      <c r="F12" s="239">
        <v>9900000</v>
      </c>
      <c r="G12" s="179"/>
      <c r="H12" s="41">
        <f t="shared" si="4"/>
        <v>9900000</v>
      </c>
      <c r="I12" s="29">
        <f t="shared" si="1"/>
        <v>1089000</v>
      </c>
      <c r="J12" s="41">
        <f t="shared" si="2"/>
        <v>10989000</v>
      </c>
      <c r="L12" s="261">
        <v>45699</v>
      </c>
      <c r="M12" s="157"/>
      <c r="N12" s="235">
        <f t="shared" si="0"/>
        <v>10989000</v>
      </c>
      <c r="P12" s="180">
        <f t="shared" si="3"/>
        <v>0</v>
      </c>
      <c r="Q12" s="138"/>
    </row>
    <row r="13" spans="1:17" x14ac:dyDescent="0.25">
      <c r="A13" s="237">
        <v>45666</v>
      </c>
      <c r="B13" s="242" t="s">
        <v>73</v>
      </c>
      <c r="C13" s="174" t="s">
        <v>74</v>
      </c>
      <c r="D13" s="239"/>
      <c r="E13" s="179"/>
      <c r="F13" s="239">
        <v>359800000</v>
      </c>
      <c r="G13" s="179"/>
      <c r="H13" s="41">
        <f t="shared" si="4"/>
        <v>359800000</v>
      </c>
      <c r="I13" s="29">
        <f t="shared" si="1"/>
        <v>39578000</v>
      </c>
      <c r="J13" s="41">
        <f t="shared" si="2"/>
        <v>399378000</v>
      </c>
      <c r="L13" s="261">
        <v>45699</v>
      </c>
      <c r="M13" s="157"/>
      <c r="N13" s="235">
        <f t="shared" si="0"/>
        <v>399378000</v>
      </c>
      <c r="P13" s="180">
        <f t="shared" si="3"/>
        <v>0</v>
      </c>
      <c r="Q13" s="138">
        <f>P13+P14+P15</f>
        <v>0</v>
      </c>
    </row>
    <row r="14" spans="1:17" x14ac:dyDescent="0.25">
      <c r="A14" s="237">
        <v>45666</v>
      </c>
      <c r="B14" s="242" t="s">
        <v>75</v>
      </c>
      <c r="C14" s="174" t="s">
        <v>74</v>
      </c>
      <c r="D14" s="239"/>
      <c r="E14" s="179"/>
      <c r="F14" s="239">
        <v>99000000</v>
      </c>
      <c r="G14" s="179"/>
      <c r="H14" s="41">
        <f t="shared" si="4"/>
        <v>99000000</v>
      </c>
      <c r="I14" s="29">
        <f t="shared" si="1"/>
        <v>10890000</v>
      </c>
      <c r="J14" s="41">
        <f t="shared" si="2"/>
        <v>109890000</v>
      </c>
      <c r="L14" s="261">
        <v>45699</v>
      </c>
      <c r="M14" s="157"/>
      <c r="N14" s="235">
        <f t="shared" si="0"/>
        <v>109890000</v>
      </c>
      <c r="P14" s="180">
        <f t="shared" si="3"/>
        <v>0</v>
      </c>
      <c r="Q14" s="138"/>
    </row>
    <row r="15" spans="1:17" x14ac:dyDescent="0.25">
      <c r="A15" s="237">
        <v>45666</v>
      </c>
      <c r="B15" s="242" t="s">
        <v>76</v>
      </c>
      <c r="C15" s="174" t="s">
        <v>74</v>
      </c>
      <c r="D15" s="239"/>
      <c r="E15" s="179"/>
      <c r="F15" s="239">
        <v>233000000</v>
      </c>
      <c r="G15" s="179"/>
      <c r="H15" s="41">
        <f t="shared" si="4"/>
        <v>233000000</v>
      </c>
      <c r="I15" s="29">
        <f t="shared" si="1"/>
        <v>25630000</v>
      </c>
      <c r="J15" s="41">
        <f t="shared" si="2"/>
        <v>258630000</v>
      </c>
      <c r="L15" s="261">
        <v>45699</v>
      </c>
      <c r="M15" s="157"/>
      <c r="N15" s="235">
        <f t="shared" si="0"/>
        <v>258630000</v>
      </c>
      <c r="P15" s="180">
        <f t="shared" si="3"/>
        <v>0</v>
      </c>
      <c r="Q15" s="138"/>
    </row>
    <row r="16" spans="1:17" x14ac:dyDescent="0.25">
      <c r="A16" s="237">
        <v>45666</v>
      </c>
      <c r="B16" s="242" t="s">
        <v>77</v>
      </c>
      <c r="C16" s="174" t="s">
        <v>61</v>
      </c>
      <c r="D16" s="239">
        <f>2694375-894375</f>
        <v>1800000</v>
      </c>
      <c r="E16" s="179"/>
      <c r="F16" s="239">
        <f>15268125-5068125</f>
        <v>10200000</v>
      </c>
      <c r="G16" s="179"/>
      <c r="H16" s="260">
        <f t="shared" si="4"/>
        <v>12000000</v>
      </c>
      <c r="I16" s="29">
        <f t="shared" si="1"/>
        <v>1320000</v>
      </c>
      <c r="J16" s="41">
        <f t="shared" si="2"/>
        <v>13320000</v>
      </c>
      <c r="L16" s="261">
        <v>45680</v>
      </c>
      <c r="M16" s="262"/>
      <c r="N16" s="235">
        <f t="shared" si="0"/>
        <v>13320000</v>
      </c>
      <c r="P16" s="180">
        <f t="shared" si="3"/>
        <v>0</v>
      </c>
      <c r="Q16" s="138"/>
    </row>
    <row r="17" spans="1:21" x14ac:dyDescent="0.25">
      <c r="A17" s="34">
        <v>45666</v>
      </c>
      <c r="B17" s="223" t="s">
        <v>78</v>
      </c>
      <c r="C17" s="25" t="s">
        <v>57</v>
      </c>
      <c r="D17" s="26">
        <v>1800000</v>
      </c>
      <c r="E17" s="27"/>
      <c r="F17" s="28"/>
      <c r="G17" s="27"/>
      <c r="H17" s="41">
        <f t="shared" ref="H17:H23" si="5">SUM(D17:G17)</f>
        <v>1800000</v>
      </c>
      <c r="I17" s="29">
        <v>0</v>
      </c>
      <c r="J17" s="41">
        <f t="shared" si="2"/>
        <v>1800000</v>
      </c>
      <c r="L17" s="145">
        <v>45671</v>
      </c>
      <c r="M17" s="236">
        <v>0</v>
      </c>
      <c r="N17" s="235">
        <f t="shared" si="0"/>
        <v>1800000</v>
      </c>
      <c r="P17" s="180">
        <f>J17-M17-N17</f>
        <v>0</v>
      </c>
    </row>
    <row r="18" spans="1:21" x14ac:dyDescent="0.25">
      <c r="A18" s="34">
        <v>45667</v>
      </c>
      <c r="B18" s="24" t="s">
        <v>79</v>
      </c>
      <c r="C18" s="25" t="s">
        <v>38</v>
      </c>
      <c r="D18" s="26"/>
      <c r="E18" s="27"/>
      <c r="F18" s="26">
        <v>7150000</v>
      </c>
      <c r="G18" s="27"/>
      <c r="H18" s="41">
        <f t="shared" si="5"/>
        <v>7150000</v>
      </c>
      <c r="I18" s="29">
        <f t="shared" ref="I18:I22" si="6">H18*0.11</f>
        <v>786500</v>
      </c>
      <c r="J18" s="41">
        <f t="shared" ref="J18:J23" si="7">H18+I18</f>
        <v>7936500</v>
      </c>
      <c r="L18" s="145">
        <v>45699</v>
      </c>
      <c r="M18" s="157">
        <v>0</v>
      </c>
      <c r="N18" s="235">
        <f t="shared" si="0"/>
        <v>7936500</v>
      </c>
      <c r="P18" s="180">
        <f t="shared" ref="P18:P42" si="8">J18-M18-N18</f>
        <v>0</v>
      </c>
    </row>
    <row r="19" spans="1:21" x14ac:dyDescent="0.25">
      <c r="A19" s="198">
        <v>45665</v>
      </c>
      <c r="B19" s="233" t="s">
        <v>80</v>
      </c>
      <c r="C19" s="199" t="s">
        <v>81</v>
      </c>
      <c r="D19" s="200"/>
      <c r="E19" s="65"/>
      <c r="F19" s="200">
        <v>1400000</v>
      </c>
      <c r="G19" s="65"/>
      <c r="H19" s="201">
        <f t="shared" si="5"/>
        <v>1400000</v>
      </c>
      <c r="I19" s="29">
        <f t="shared" si="6"/>
        <v>154000</v>
      </c>
      <c r="J19" s="201">
        <f t="shared" si="7"/>
        <v>1554000</v>
      </c>
      <c r="L19" s="145">
        <v>45665</v>
      </c>
      <c r="M19" s="157">
        <v>0</v>
      </c>
      <c r="N19" s="235">
        <f t="shared" si="0"/>
        <v>1554000</v>
      </c>
      <c r="P19" s="180">
        <f t="shared" si="8"/>
        <v>0</v>
      </c>
    </row>
    <row r="20" spans="1:21" x14ac:dyDescent="0.25">
      <c r="A20" s="34">
        <v>45667</v>
      </c>
      <c r="B20" s="223" t="s">
        <v>82</v>
      </c>
      <c r="C20" s="25" t="s">
        <v>83</v>
      </c>
      <c r="D20" s="26"/>
      <c r="E20" s="27"/>
      <c r="F20" s="26">
        <v>9100000</v>
      </c>
      <c r="G20" s="27"/>
      <c r="H20" s="41">
        <f>SUM(D20:G20)</f>
        <v>9100000</v>
      </c>
      <c r="I20" s="29">
        <v>0</v>
      </c>
      <c r="J20" s="41">
        <f t="shared" si="7"/>
        <v>9100000</v>
      </c>
      <c r="L20" s="145">
        <v>45667</v>
      </c>
      <c r="M20" s="157">
        <v>0</v>
      </c>
      <c r="N20" s="235">
        <f t="shared" si="0"/>
        <v>9100000</v>
      </c>
      <c r="O20" s="175"/>
      <c r="P20" s="180">
        <f t="shared" si="8"/>
        <v>0</v>
      </c>
      <c r="Q20" s="16"/>
      <c r="R20" s="25"/>
      <c r="S20" s="5"/>
      <c r="T20" s="166"/>
      <c r="U20" s="138"/>
    </row>
    <row r="21" spans="1:21" x14ac:dyDescent="0.25">
      <c r="A21" s="34">
        <v>45668</v>
      </c>
      <c r="B21" s="223"/>
      <c r="C21" s="25" t="s">
        <v>64</v>
      </c>
      <c r="D21" s="26">
        <v>1660000</v>
      </c>
      <c r="E21" s="27"/>
      <c r="F21" s="26"/>
      <c r="G21" s="27"/>
      <c r="H21" s="41">
        <f t="shared" si="5"/>
        <v>1660000</v>
      </c>
      <c r="I21" s="29">
        <v>0</v>
      </c>
      <c r="J21" s="41">
        <f t="shared" si="7"/>
        <v>1660000</v>
      </c>
      <c r="L21" s="145">
        <v>45671</v>
      </c>
      <c r="M21" s="157">
        <v>0</v>
      </c>
      <c r="N21" s="235">
        <f t="shared" si="0"/>
        <v>1660000</v>
      </c>
      <c r="P21" s="180">
        <f t="shared" si="8"/>
        <v>0</v>
      </c>
    </row>
    <row r="22" spans="1:21" x14ac:dyDescent="0.25">
      <c r="A22" s="34">
        <v>45672</v>
      </c>
      <c r="B22" s="223" t="s">
        <v>84</v>
      </c>
      <c r="C22" s="25" t="s">
        <v>37</v>
      </c>
      <c r="D22" s="26"/>
      <c r="E22" s="27"/>
      <c r="F22" s="26">
        <v>21470000</v>
      </c>
      <c r="G22" s="27"/>
      <c r="H22" s="41">
        <f t="shared" si="5"/>
        <v>21470000</v>
      </c>
      <c r="I22" s="29">
        <f t="shared" si="6"/>
        <v>2361700</v>
      </c>
      <c r="J22" s="41">
        <f t="shared" si="7"/>
        <v>23831700</v>
      </c>
      <c r="L22" s="145">
        <v>45716</v>
      </c>
      <c r="M22" s="157">
        <v>0</v>
      </c>
      <c r="N22" s="235">
        <f>J22-M22</f>
        <v>23831700</v>
      </c>
      <c r="P22" s="180">
        <f t="shared" si="8"/>
        <v>0</v>
      </c>
    </row>
    <row r="23" spans="1:21" x14ac:dyDescent="0.25">
      <c r="A23" s="34">
        <v>45673</v>
      </c>
      <c r="B23" s="223" t="s">
        <v>85</v>
      </c>
      <c r="C23" s="25" t="s">
        <v>62</v>
      </c>
      <c r="D23" s="26">
        <v>650000</v>
      </c>
      <c r="E23" s="27"/>
      <c r="F23" s="26"/>
      <c r="G23" s="27"/>
      <c r="H23" s="41">
        <f t="shared" si="5"/>
        <v>650000</v>
      </c>
      <c r="I23" s="29">
        <v>0</v>
      </c>
      <c r="J23" s="41">
        <f t="shared" si="7"/>
        <v>650000</v>
      </c>
      <c r="L23" s="145">
        <v>45673</v>
      </c>
      <c r="M23" s="157">
        <v>0</v>
      </c>
      <c r="N23" s="235">
        <f>J23-M23</f>
        <v>650000</v>
      </c>
      <c r="P23" s="180">
        <f t="shared" si="8"/>
        <v>0</v>
      </c>
    </row>
    <row r="24" spans="1:21" x14ac:dyDescent="0.25">
      <c r="A24" s="34">
        <v>45673</v>
      </c>
      <c r="B24" s="223" t="s">
        <v>86</v>
      </c>
      <c r="C24" s="25" t="s">
        <v>57</v>
      </c>
      <c r="D24" s="26">
        <v>3400000</v>
      </c>
      <c r="E24" s="27"/>
      <c r="F24" s="26"/>
      <c r="G24" s="27"/>
      <c r="H24" s="41">
        <f t="shared" ref="H24:H25" si="9">SUM(D24:G24)</f>
        <v>3400000</v>
      </c>
      <c r="I24" s="29">
        <v>0</v>
      </c>
      <c r="J24" s="41">
        <f t="shared" ref="J24:J41" si="10">H24+I24</f>
        <v>3400000</v>
      </c>
      <c r="L24" s="145">
        <v>45699</v>
      </c>
      <c r="M24" s="235"/>
      <c r="N24" s="235">
        <f>J24-M24</f>
        <v>3400000</v>
      </c>
      <c r="P24" s="180">
        <f t="shared" si="8"/>
        <v>0</v>
      </c>
    </row>
    <row r="25" spans="1:21" x14ac:dyDescent="0.25">
      <c r="A25" s="34">
        <v>45674</v>
      </c>
      <c r="B25" s="223" t="s">
        <v>87</v>
      </c>
      <c r="C25" s="25" t="s">
        <v>37</v>
      </c>
      <c r="D25" s="26"/>
      <c r="E25" s="27"/>
      <c r="F25" s="26">
        <f>9120000+13870000</f>
        <v>22990000</v>
      </c>
      <c r="G25" s="27"/>
      <c r="H25" s="41">
        <f t="shared" si="9"/>
        <v>22990000</v>
      </c>
      <c r="I25" s="29">
        <f t="shared" ref="I25" si="11">H25*0.11</f>
        <v>2528900</v>
      </c>
      <c r="J25" s="41">
        <f t="shared" si="10"/>
        <v>25518900</v>
      </c>
      <c r="L25" s="145">
        <v>45716</v>
      </c>
      <c r="M25" s="235"/>
      <c r="N25" s="235">
        <f>J25-M25</f>
        <v>25518900</v>
      </c>
      <c r="P25" s="180">
        <f t="shared" si="8"/>
        <v>0</v>
      </c>
    </row>
    <row r="26" spans="1:21" x14ac:dyDescent="0.25">
      <c r="A26" s="265">
        <v>45677</v>
      </c>
      <c r="B26" s="223" t="s">
        <v>88</v>
      </c>
      <c r="C26" s="25" t="s">
        <v>55</v>
      </c>
      <c r="D26" s="26"/>
      <c r="E26" s="27"/>
      <c r="F26" s="26">
        <v>28875000</v>
      </c>
      <c r="G26" s="27"/>
      <c r="H26" s="41">
        <f t="shared" ref="H26:H40" si="12">SUM(D26:G26)</f>
        <v>28875000</v>
      </c>
      <c r="I26" s="29">
        <f t="shared" ref="I26:I40" si="13">H26*0.11</f>
        <v>3176250</v>
      </c>
      <c r="J26" s="41">
        <f t="shared" ref="J26:J40" si="14">H26+I26</f>
        <v>32051250</v>
      </c>
      <c r="L26" s="145"/>
      <c r="M26" s="235"/>
      <c r="N26" s="235">
        <v>0</v>
      </c>
      <c r="P26" s="180">
        <f t="shared" si="8"/>
        <v>32051250</v>
      </c>
    </row>
    <row r="27" spans="1:21" x14ac:dyDescent="0.25">
      <c r="A27" s="34">
        <v>45677</v>
      </c>
      <c r="B27" s="223" t="s">
        <v>89</v>
      </c>
      <c r="C27" s="25" t="s">
        <v>90</v>
      </c>
      <c r="D27" s="26"/>
      <c r="E27" s="27"/>
      <c r="F27" s="26"/>
      <c r="G27" s="27">
        <v>14600000</v>
      </c>
      <c r="H27" s="41">
        <f t="shared" si="12"/>
        <v>14600000</v>
      </c>
      <c r="I27" s="29">
        <f t="shared" si="13"/>
        <v>1606000</v>
      </c>
      <c r="J27" s="41">
        <f t="shared" si="14"/>
        <v>16206000</v>
      </c>
      <c r="L27" s="145">
        <v>45657</v>
      </c>
      <c r="M27" s="235"/>
      <c r="N27" s="235">
        <f t="shared" ref="N27:N34" si="15">J27-M27</f>
        <v>16206000</v>
      </c>
      <c r="P27" s="180">
        <f t="shared" si="8"/>
        <v>0</v>
      </c>
    </row>
    <row r="28" spans="1:21" x14ac:dyDescent="0.25">
      <c r="A28" s="34">
        <v>45680</v>
      </c>
      <c r="B28" s="223" t="s">
        <v>91</v>
      </c>
      <c r="C28" s="25" t="s">
        <v>37</v>
      </c>
      <c r="D28" s="26"/>
      <c r="E28" s="27"/>
      <c r="F28" s="26">
        <v>12650000</v>
      </c>
      <c r="G28" s="27"/>
      <c r="H28" s="41">
        <f t="shared" ref="H28:H38" si="16">SUM(D28:G28)</f>
        <v>12650000</v>
      </c>
      <c r="I28" s="29">
        <f t="shared" ref="I28:I38" si="17">H28*0.11</f>
        <v>1391500</v>
      </c>
      <c r="J28" s="41">
        <f t="shared" ref="J28:J38" si="18">H28+I28</f>
        <v>14041500</v>
      </c>
      <c r="L28" s="145">
        <v>45716</v>
      </c>
      <c r="M28" s="235"/>
      <c r="N28" s="235">
        <f t="shared" si="15"/>
        <v>14041500</v>
      </c>
      <c r="P28" s="180">
        <f t="shared" si="8"/>
        <v>0</v>
      </c>
    </row>
    <row r="29" spans="1:21" x14ac:dyDescent="0.25">
      <c r="A29" s="34">
        <v>45680</v>
      </c>
      <c r="B29" s="223" t="s">
        <v>92</v>
      </c>
      <c r="C29" s="25" t="s">
        <v>37</v>
      </c>
      <c r="D29" s="26"/>
      <c r="E29" s="27"/>
      <c r="F29" s="26">
        <v>8071250</v>
      </c>
      <c r="G29" s="27"/>
      <c r="H29" s="41">
        <f t="shared" si="16"/>
        <v>8071250</v>
      </c>
      <c r="I29" s="29">
        <f t="shared" si="17"/>
        <v>887837.5</v>
      </c>
      <c r="J29" s="41">
        <f t="shared" si="18"/>
        <v>8959087.5</v>
      </c>
      <c r="L29" s="145">
        <v>45716</v>
      </c>
      <c r="M29" s="235"/>
      <c r="N29" s="235">
        <f t="shared" si="15"/>
        <v>8959087.5</v>
      </c>
      <c r="P29" s="180">
        <f t="shared" si="8"/>
        <v>0</v>
      </c>
    </row>
    <row r="30" spans="1:21" x14ac:dyDescent="0.25">
      <c r="A30" s="34">
        <v>45680</v>
      </c>
      <c r="B30" s="223" t="s">
        <v>93</v>
      </c>
      <c r="C30" s="25" t="s">
        <v>37</v>
      </c>
      <c r="D30" s="26"/>
      <c r="E30" s="27"/>
      <c r="F30" s="26">
        <v>11595833</v>
      </c>
      <c r="G30" s="27"/>
      <c r="H30" s="41">
        <f t="shared" si="16"/>
        <v>11595833</v>
      </c>
      <c r="I30" s="29">
        <f t="shared" si="17"/>
        <v>1275541.6300000001</v>
      </c>
      <c r="J30" s="41">
        <f t="shared" si="18"/>
        <v>12871374.630000001</v>
      </c>
      <c r="L30" s="145">
        <v>45716</v>
      </c>
      <c r="M30" s="235"/>
      <c r="N30" s="235">
        <f t="shared" si="15"/>
        <v>12871374.630000001</v>
      </c>
      <c r="P30" s="180">
        <f t="shared" si="8"/>
        <v>0</v>
      </c>
    </row>
    <row r="31" spans="1:21" x14ac:dyDescent="0.25">
      <c r="A31" s="34">
        <v>45680</v>
      </c>
      <c r="B31" s="223" t="s">
        <v>94</v>
      </c>
      <c r="C31" s="25" t="s">
        <v>37</v>
      </c>
      <c r="D31" s="26"/>
      <c r="E31" s="27"/>
      <c r="F31" s="26">
        <v>5573333</v>
      </c>
      <c r="G31" s="27"/>
      <c r="H31" s="41">
        <f t="shared" si="16"/>
        <v>5573333</v>
      </c>
      <c r="I31" s="29">
        <f t="shared" si="17"/>
        <v>613066.63</v>
      </c>
      <c r="J31" s="41">
        <f t="shared" si="18"/>
        <v>6186399.6299999999</v>
      </c>
      <c r="L31" s="145">
        <v>45716</v>
      </c>
      <c r="M31" s="235"/>
      <c r="N31" s="235">
        <f t="shared" si="15"/>
        <v>6186399.6299999999</v>
      </c>
      <c r="P31" s="180">
        <f t="shared" si="8"/>
        <v>0</v>
      </c>
    </row>
    <row r="32" spans="1:21" x14ac:dyDescent="0.25">
      <c r="A32" s="34">
        <v>45685</v>
      </c>
      <c r="B32" s="223" t="s">
        <v>95</v>
      </c>
      <c r="C32" s="25" t="s">
        <v>61</v>
      </c>
      <c r="D32" s="26">
        <f>6286875-2086875</f>
        <v>4200000</v>
      </c>
      <c r="E32" s="27"/>
      <c r="F32" s="26">
        <f>35625625-11825625</f>
        <v>23800000</v>
      </c>
      <c r="G32" s="27"/>
      <c r="H32" s="41">
        <f t="shared" si="16"/>
        <v>28000000</v>
      </c>
      <c r="I32" s="29">
        <f t="shared" si="17"/>
        <v>3080000</v>
      </c>
      <c r="J32" s="41">
        <f t="shared" si="18"/>
        <v>31080000</v>
      </c>
      <c r="L32" s="145">
        <v>45716</v>
      </c>
      <c r="M32" s="235"/>
      <c r="N32" s="235">
        <f t="shared" si="15"/>
        <v>31080000</v>
      </c>
      <c r="P32" s="180">
        <f t="shared" si="8"/>
        <v>0</v>
      </c>
    </row>
    <row r="33" spans="1:17" x14ac:dyDescent="0.25">
      <c r="A33" s="34">
        <v>45685</v>
      </c>
      <c r="B33" s="223" t="s">
        <v>96</v>
      </c>
      <c r="C33" s="25" t="s">
        <v>38</v>
      </c>
      <c r="D33" s="26"/>
      <c r="E33" s="27"/>
      <c r="F33" s="26">
        <v>26250000</v>
      </c>
      <c r="G33" s="27"/>
      <c r="H33" s="41">
        <f t="shared" si="16"/>
        <v>26250000</v>
      </c>
      <c r="I33" s="29">
        <f t="shared" si="17"/>
        <v>2887500</v>
      </c>
      <c r="J33" s="41">
        <f t="shared" si="18"/>
        <v>29137500</v>
      </c>
      <c r="L33" s="145">
        <v>45699</v>
      </c>
      <c r="M33" s="235"/>
      <c r="N33" s="235">
        <f t="shared" si="15"/>
        <v>29137500</v>
      </c>
      <c r="P33" s="180">
        <f t="shared" si="8"/>
        <v>0</v>
      </c>
    </row>
    <row r="34" spans="1:17" x14ac:dyDescent="0.25">
      <c r="A34" s="34">
        <v>45685</v>
      </c>
      <c r="B34" s="223" t="s">
        <v>97</v>
      </c>
      <c r="C34" s="25" t="s">
        <v>98</v>
      </c>
      <c r="D34" s="26"/>
      <c r="E34" s="27">
        <v>1350000</v>
      </c>
      <c r="F34" s="26"/>
      <c r="G34" s="27"/>
      <c r="H34" s="41">
        <f t="shared" si="16"/>
        <v>1350000</v>
      </c>
      <c r="I34" s="29">
        <f t="shared" si="17"/>
        <v>148500</v>
      </c>
      <c r="J34" s="41">
        <f t="shared" si="18"/>
        <v>1498500</v>
      </c>
      <c r="L34" s="145">
        <v>45716</v>
      </c>
      <c r="M34" s="235"/>
      <c r="N34" s="235">
        <f t="shared" si="15"/>
        <v>1498500</v>
      </c>
      <c r="P34" s="180">
        <f t="shared" si="8"/>
        <v>0</v>
      </c>
    </row>
    <row r="35" spans="1:17" x14ac:dyDescent="0.25">
      <c r="A35" s="34">
        <v>45680</v>
      </c>
      <c r="B35" s="223"/>
      <c r="C35" s="25" t="s">
        <v>64</v>
      </c>
      <c r="D35" s="26">
        <v>20300000</v>
      </c>
      <c r="E35" s="27"/>
      <c r="F35" s="26"/>
      <c r="G35" s="27"/>
      <c r="H35" s="41">
        <f t="shared" si="16"/>
        <v>20300000</v>
      </c>
      <c r="I35" s="29">
        <v>0</v>
      </c>
      <c r="J35" s="41">
        <f t="shared" si="18"/>
        <v>20300000</v>
      </c>
      <c r="L35" s="145">
        <v>45680</v>
      </c>
      <c r="M35" s="235"/>
      <c r="N35" s="235">
        <f t="shared" ref="N35:N37" si="19">J35-M35</f>
        <v>20300000</v>
      </c>
      <c r="P35" s="180">
        <f t="shared" si="8"/>
        <v>0</v>
      </c>
    </row>
    <row r="36" spans="1:17" x14ac:dyDescent="0.25">
      <c r="A36" s="34">
        <v>45670</v>
      </c>
      <c r="B36" s="223" t="s">
        <v>99</v>
      </c>
      <c r="C36" s="25" t="s">
        <v>59</v>
      </c>
      <c r="D36" s="26"/>
      <c r="E36" s="27"/>
      <c r="F36" s="26">
        <v>40410000</v>
      </c>
      <c r="G36" s="27"/>
      <c r="H36" s="41">
        <f t="shared" si="16"/>
        <v>40410000</v>
      </c>
      <c r="I36" s="29">
        <f t="shared" si="17"/>
        <v>4445100</v>
      </c>
      <c r="J36" s="41">
        <f t="shared" si="18"/>
        <v>44855100</v>
      </c>
      <c r="L36" s="145">
        <v>45670</v>
      </c>
      <c r="M36" s="235"/>
      <c r="N36" s="235">
        <f t="shared" si="19"/>
        <v>44855100</v>
      </c>
      <c r="P36" s="180">
        <f t="shared" si="8"/>
        <v>0</v>
      </c>
    </row>
    <row r="37" spans="1:17" x14ac:dyDescent="0.25">
      <c r="A37" s="34">
        <v>45687</v>
      </c>
      <c r="B37" s="223"/>
      <c r="C37" s="25" t="s">
        <v>103</v>
      </c>
      <c r="D37" s="26"/>
      <c r="E37" s="27">
        <v>8400000</v>
      </c>
      <c r="F37" s="26"/>
      <c r="G37" s="27"/>
      <c r="H37" s="41">
        <f t="shared" si="16"/>
        <v>8400000</v>
      </c>
      <c r="I37" s="29">
        <v>0</v>
      </c>
      <c r="J37" s="41">
        <f t="shared" si="18"/>
        <v>8400000</v>
      </c>
      <c r="L37" s="145">
        <v>45687</v>
      </c>
      <c r="M37" s="235"/>
      <c r="N37" s="235">
        <f t="shared" si="19"/>
        <v>8400000</v>
      </c>
      <c r="P37" s="180">
        <f t="shared" si="8"/>
        <v>0</v>
      </c>
    </row>
    <row r="38" spans="1:17" x14ac:dyDescent="0.25">
      <c r="A38" s="34"/>
      <c r="B38" s="223"/>
      <c r="C38" s="25"/>
      <c r="D38" s="26"/>
      <c r="E38" s="27"/>
      <c r="F38" s="26"/>
      <c r="G38" s="27"/>
      <c r="H38" s="41">
        <f t="shared" si="16"/>
        <v>0</v>
      </c>
      <c r="I38" s="29">
        <f t="shared" si="17"/>
        <v>0</v>
      </c>
      <c r="J38" s="41">
        <f t="shared" si="18"/>
        <v>0</v>
      </c>
      <c r="L38" s="145"/>
      <c r="M38" s="235"/>
      <c r="N38" s="235">
        <v>0</v>
      </c>
      <c r="P38" s="180">
        <f t="shared" si="8"/>
        <v>0</v>
      </c>
    </row>
    <row r="39" spans="1:17" x14ac:dyDescent="0.25">
      <c r="A39" s="34"/>
      <c r="B39" s="223"/>
      <c r="C39" s="25"/>
      <c r="D39" s="26"/>
      <c r="E39" s="27"/>
      <c r="F39" s="26"/>
      <c r="G39" s="27"/>
      <c r="H39" s="41">
        <f t="shared" si="12"/>
        <v>0</v>
      </c>
      <c r="I39" s="29">
        <f t="shared" si="13"/>
        <v>0</v>
      </c>
      <c r="J39" s="41">
        <f t="shared" si="14"/>
        <v>0</v>
      </c>
      <c r="L39" s="145"/>
      <c r="M39" s="235"/>
      <c r="N39" s="235">
        <v>0</v>
      </c>
      <c r="P39" s="180">
        <f t="shared" si="8"/>
        <v>0</v>
      </c>
    </row>
    <row r="40" spans="1:17" x14ac:dyDescent="0.25">
      <c r="A40" s="34"/>
      <c r="B40" s="223"/>
      <c r="C40" s="25"/>
      <c r="D40" s="26"/>
      <c r="E40" s="27"/>
      <c r="F40" s="26"/>
      <c r="G40" s="27"/>
      <c r="H40" s="41">
        <f t="shared" si="12"/>
        <v>0</v>
      </c>
      <c r="I40" s="29">
        <f t="shared" si="13"/>
        <v>0</v>
      </c>
      <c r="J40" s="41">
        <f t="shared" si="14"/>
        <v>0</v>
      </c>
      <c r="L40" s="145"/>
      <c r="M40" s="235"/>
      <c r="N40" s="235">
        <v>0</v>
      </c>
      <c r="P40" s="180">
        <f t="shared" si="8"/>
        <v>0</v>
      </c>
    </row>
    <row r="41" spans="1:17" x14ac:dyDescent="0.25">
      <c r="A41" s="34"/>
      <c r="B41" s="223"/>
      <c r="C41" s="25"/>
      <c r="D41" s="26"/>
      <c r="E41" s="27"/>
      <c r="F41" s="26"/>
      <c r="G41" s="27"/>
      <c r="H41" s="41">
        <f>SUM(D41:G41)</f>
        <v>0</v>
      </c>
      <c r="I41" s="29">
        <v>0</v>
      </c>
      <c r="J41" s="41">
        <f t="shared" si="10"/>
        <v>0</v>
      </c>
      <c r="L41" s="145"/>
      <c r="M41" s="235"/>
      <c r="N41" s="235">
        <v>0</v>
      </c>
      <c r="P41" s="180">
        <f t="shared" si="8"/>
        <v>0</v>
      </c>
    </row>
    <row r="42" spans="1:17" x14ac:dyDescent="0.25">
      <c r="A42" s="34"/>
      <c r="B42" s="223"/>
      <c r="C42" s="25"/>
      <c r="D42" s="26"/>
      <c r="E42" s="27"/>
      <c r="F42" s="26"/>
      <c r="G42" s="27"/>
      <c r="H42" s="41">
        <f t="shared" ref="H42" si="20">SUM(D42:G42)</f>
        <v>0</v>
      </c>
      <c r="I42" s="29">
        <f t="shared" ref="I42" si="21">H42*0.11</f>
        <v>0</v>
      </c>
      <c r="J42" s="41">
        <f t="shared" ref="J42" si="22">H42+I42</f>
        <v>0</v>
      </c>
      <c r="L42" s="145"/>
      <c r="M42" s="235">
        <v>0</v>
      </c>
      <c r="N42" s="157">
        <f t="shared" ref="N42" si="23">J42-M42</f>
        <v>0</v>
      </c>
      <c r="P42" s="180">
        <f t="shared" si="8"/>
        <v>0</v>
      </c>
    </row>
    <row r="43" spans="1:17" ht="21.75" customHeight="1" x14ac:dyDescent="0.25">
      <c r="A43" s="35"/>
      <c r="B43" s="35"/>
      <c r="C43" s="36" t="s">
        <v>0</v>
      </c>
      <c r="D43" s="37">
        <f t="shared" ref="D43:J43" si="24">SUM(D6:D42)</f>
        <v>33810000</v>
      </c>
      <c r="E43" s="37">
        <f t="shared" si="24"/>
        <v>9750000</v>
      </c>
      <c r="F43" s="37">
        <f t="shared" si="24"/>
        <v>2417715416</v>
      </c>
      <c r="G43" s="37">
        <f t="shared" si="24"/>
        <v>14600000</v>
      </c>
      <c r="H43" s="37">
        <f t="shared" si="24"/>
        <v>2475875416</v>
      </c>
      <c r="I43" s="37">
        <f t="shared" si="24"/>
        <v>267362195.75999999</v>
      </c>
      <c r="J43" s="37">
        <f t="shared" si="24"/>
        <v>2743237611.7600002</v>
      </c>
      <c r="L43" s="44"/>
      <c r="M43" s="44">
        <f>SUM(M6:M42)</f>
        <v>0</v>
      </c>
      <c r="N43" s="44">
        <f>SUM(N6:N42)</f>
        <v>2711186361.7600002</v>
      </c>
      <c r="O43" s="4"/>
      <c r="P43" s="44">
        <f>SUM(P6:P42)</f>
        <v>32051250</v>
      </c>
      <c r="Q43" s="4"/>
    </row>
    <row r="44" spans="1:17" x14ac:dyDescent="0.25">
      <c r="H44" s="18"/>
    </row>
    <row r="45" spans="1:17" x14ac:dyDescent="0.25">
      <c r="F45" s="285"/>
      <c r="G45" s="285"/>
      <c r="H45" s="17"/>
    </row>
    <row r="46" spans="1:17" x14ac:dyDescent="0.25">
      <c r="H46" s="17"/>
    </row>
    <row r="47" spans="1:17" x14ac:dyDescent="0.25">
      <c r="A47" t="s">
        <v>48</v>
      </c>
      <c r="M47" s="16"/>
    </row>
    <row r="48" spans="1:17" x14ac:dyDescent="0.25">
      <c r="A48" t="s">
        <v>49</v>
      </c>
      <c r="B48" t="s">
        <v>50</v>
      </c>
      <c r="M48" s="16"/>
    </row>
    <row r="49" spans="1:13" x14ac:dyDescent="0.25">
      <c r="A49" t="s">
        <v>51</v>
      </c>
      <c r="B49" t="s">
        <v>52</v>
      </c>
      <c r="M49" s="18"/>
    </row>
    <row r="50" spans="1:13" x14ac:dyDescent="0.25">
      <c r="A50" t="s">
        <v>53</v>
      </c>
      <c r="B50" t="s">
        <v>54</v>
      </c>
      <c r="E50" s="16"/>
      <c r="M50" s="138"/>
    </row>
    <row r="55" spans="1:13" x14ac:dyDescent="0.25">
      <c r="E55" s="135"/>
    </row>
    <row r="57" spans="1:13" x14ac:dyDescent="0.25">
      <c r="H57" s="136"/>
    </row>
    <row r="58" spans="1:13" x14ac:dyDescent="0.25">
      <c r="E58" s="135"/>
    </row>
    <row r="61" spans="1:13" x14ac:dyDescent="0.25">
      <c r="E61" s="16"/>
    </row>
  </sheetData>
  <autoFilter ref="P1:P50" xr:uid="{00000000-0009-0000-0000-000001000000}"/>
  <mergeCells count="9">
    <mergeCell ref="F45:G45"/>
    <mergeCell ref="M4:M5"/>
    <mergeCell ref="N4:N5"/>
    <mergeCell ref="P4:P5"/>
    <mergeCell ref="A4:A5"/>
    <mergeCell ref="B4:B5"/>
    <mergeCell ref="C4:C5"/>
    <mergeCell ref="D4:J4"/>
    <mergeCell ref="L4:L5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"/>
  <sheetViews>
    <sheetView workbookViewId="0">
      <pane ySplit="6" topLeftCell="A7" activePane="bottomLeft" state="frozen"/>
      <selection pane="bottomLeft" activeCell="N14" sqref="N14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3.7109375" customWidth="1"/>
    <col min="4" max="4" width="15.42578125" customWidth="1"/>
    <col min="5" max="5" width="14.28515625" customWidth="1"/>
    <col min="6" max="6" width="17.42578125" bestFit="1" customWidth="1"/>
    <col min="7" max="7" width="12.425781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4.7109375" customWidth="1"/>
    <col min="12" max="12" width="15.7109375" customWidth="1"/>
    <col min="13" max="13" width="9.5703125" bestFit="1" customWidth="1"/>
    <col min="14" max="14" width="15.28515625" bestFit="1" customWidth="1"/>
    <col min="15" max="15" width="3.5703125" customWidth="1"/>
    <col min="16" max="17" width="12.5703125" bestFit="1" customWidth="1"/>
    <col min="18" max="18" width="32.85546875" bestFit="1" customWidth="1"/>
    <col min="19" max="19" width="24.42578125" bestFit="1" customWidth="1"/>
    <col min="20" max="20" width="9.42578125" bestFit="1" customWidth="1"/>
    <col min="21" max="21" width="10.5703125" bestFit="1" customWidth="1"/>
  </cols>
  <sheetData>
    <row r="1" spans="1:21" ht="19.5" x14ac:dyDescent="0.25">
      <c r="A1" s="2" t="s">
        <v>100</v>
      </c>
      <c r="B1" s="2"/>
      <c r="C1" s="4"/>
      <c r="D1" s="13"/>
      <c r="E1" s="6"/>
      <c r="F1" s="11"/>
      <c r="G1" s="10"/>
    </row>
    <row r="2" spans="1:21" ht="19.5" x14ac:dyDescent="0.25">
      <c r="A2" s="1"/>
      <c r="B2" s="1"/>
      <c r="C2" s="4"/>
      <c r="D2" s="13"/>
      <c r="E2" s="6"/>
      <c r="F2" s="4"/>
      <c r="G2" s="10"/>
    </row>
    <row r="3" spans="1:21" x14ac:dyDescent="0.25">
      <c r="A3" s="4"/>
      <c r="B3" s="4"/>
      <c r="C3" s="4"/>
      <c r="D3" s="13"/>
      <c r="E3" s="6"/>
      <c r="F3" s="4"/>
      <c r="G3" s="10"/>
    </row>
    <row r="4" spans="1:21" x14ac:dyDescent="0.25">
      <c r="A4" s="12" t="s">
        <v>3</v>
      </c>
      <c r="B4" s="4"/>
      <c r="C4" s="4"/>
      <c r="D4" s="13"/>
      <c r="E4" s="6"/>
      <c r="F4" s="4"/>
      <c r="G4" s="10"/>
    </row>
    <row r="5" spans="1:21" ht="22.5" customHeight="1" x14ac:dyDescent="0.25">
      <c r="A5" s="288" t="s">
        <v>2</v>
      </c>
      <c r="B5" s="290" t="s">
        <v>4</v>
      </c>
      <c r="C5" s="288" t="s">
        <v>32</v>
      </c>
      <c r="D5" s="282" t="s">
        <v>1</v>
      </c>
      <c r="E5" s="282"/>
      <c r="F5" s="282"/>
      <c r="G5" s="282"/>
      <c r="H5" s="282"/>
      <c r="I5" s="282"/>
      <c r="J5" s="282"/>
      <c r="L5" s="286" t="s">
        <v>25</v>
      </c>
      <c r="M5" s="286" t="s">
        <v>29</v>
      </c>
      <c r="N5" s="286" t="s">
        <v>26</v>
      </c>
      <c r="P5" s="286" t="s">
        <v>31</v>
      </c>
    </row>
    <row r="6" spans="1:21" ht="15.75" x14ac:dyDescent="0.25">
      <c r="A6" s="289"/>
      <c r="B6" s="291"/>
      <c r="C6" s="289"/>
      <c r="D6" s="38" t="s">
        <v>6</v>
      </c>
      <c r="E6" s="38" t="s">
        <v>5</v>
      </c>
      <c r="F6" s="39" t="s">
        <v>7</v>
      </c>
      <c r="G6" s="39" t="s">
        <v>8</v>
      </c>
      <c r="H6" s="39" t="s">
        <v>0</v>
      </c>
      <c r="I6" s="40" t="s">
        <v>3</v>
      </c>
      <c r="J6" s="40" t="s">
        <v>9</v>
      </c>
      <c r="L6" s="287"/>
      <c r="M6" s="287"/>
      <c r="N6" s="287"/>
      <c r="P6" s="286"/>
    </row>
    <row r="7" spans="1:21" s="4" customFormat="1" ht="15.75" x14ac:dyDescent="0.25">
      <c r="A7" s="237">
        <v>45701</v>
      </c>
      <c r="B7" s="242" t="s">
        <v>101</v>
      </c>
      <c r="C7" s="174" t="s">
        <v>39</v>
      </c>
      <c r="D7" s="239"/>
      <c r="E7" s="179"/>
      <c r="F7" s="239">
        <v>25500000</v>
      </c>
      <c r="G7" s="23"/>
      <c r="H7" s="211">
        <f>SUM(D7:G7)</f>
        <v>25500000</v>
      </c>
      <c r="I7" s="240">
        <f>H7*0.11</f>
        <v>2805000</v>
      </c>
      <c r="J7" s="241">
        <f>H7+I7</f>
        <v>28305000</v>
      </c>
      <c r="K7" s="3"/>
      <c r="L7" s="167">
        <v>45699</v>
      </c>
      <c r="M7" s="177">
        <v>0</v>
      </c>
      <c r="N7" s="202">
        <f>J7-M7</f>
        <v>28305000</v>
      </c>
      <c r="P7" s="144">
        <f>J7-M7-N7</f>
        <v>0</v>
      </c>
      <c r="R7" s="21"/>
      <c r="S7" s="21"/>
      <c r="T7" s="21"/>
      <c r="U7" s="21"/>
    </row>
    <row r="8" spans="1:21" s="4" customFormat="1" ht="15.75" x14ac:dyDescent="0.25">
      <c r="A8" s="237">
        <v>45694</v>
      </c>
      <c r="B8" s="242" t="s">
        <v>102</v>
      </c>
      <c r="C8" s="174" t="s">
        <v>58</v>
      </c>
      <c r="D8" s="239"/>
      <c r="E8" s="179">
        <v>38060000</v>
      </c>
      <c r="F8" s="239"/>
      <c r="G8" s="179"/>
      <c r="H8" s="50">
        <f t="shared" ref="H8:H32" si="0">SUM(D8:G8)</f>
        <v>38060000</v>
      </c>
      <c r="I8" s="48">
        <f>H8*0.11</f>
        <v>4186600</v>
      </c>
      <c r="J8" s="52">
        <f t="shared" ref="J8:J32" si="1">H8+I8</f>
        <v>42246600</v>
      </c>
      <c r="K8" s="3"/>
      <c r="L8" s="168">
        <v>45694</v>
      </c>
      <c r="M8" s="203">
        <v>0</v>
      </c>
      <c r="N8" s="158">
        <f t="shared" ref="N8:N12" si="2">J8-M8</f>
        <v>42246600</v>
      </c>
      <c r="P8" s="81">
        <f>J8-M8-N8</f>
        <v>0</v>
      </c>
      <c r="R8" s="174"/>
      <c r="S8" s="174"/>
      <c r="T8" s="174"/>
      <c r="U8" s="174"/>
    </row>
    <row r="9" spans="1:21" s="4" customFormat="1" ht="15.75" x14ac:dyDescent="0.25">
      <c r="A9" s="237">
        <v>45694</v>
      </c>
      <c r="B9" s="242"/>
      <c r="C9" s="174" t="s">
        <v>104</v>
      </c>
      <c r="D9" s="239"/>
      <c r="E9" s="179">
        <v>13500000</v>
      </c>
      <c r="F9" s="239"/>
      <c r="G9" s="179"/>
      <c r="H9" s="50">
        <f t="shared" si="0"/>
        <v>13500000</v>
      </c>
      <c r="I9" s="48">
        <v>0</v>
      </c>
      <c r="J9" s="52">
        <f t="shared" si="1"/>
        <v>13500000</v>
      </c>
      <c r="K9" s="3"/>
      <c r="L9" s="168">
        <v>45694</v>
      </c>
      <c r="M9" s="203"/>
      <c r="N9" s="158">
        <f t="shared" si="2"/>
        <v>13500000</v>
      </c>
      <c r="P9" s="81">
        <f>J9-M9-N9</f>
        <v>0</v>
      </c>
      <c r="R9" s="174"/>
      <c r="S9" s="174"/>
      <c r="T9" s="174"/>
      <c r="U9" s="174"/>
    </row>
    <row r="10" spans="1:21" s="4" customFormat="1" ht="15.75" x14ac:dyDescent="0.25">
      <c r="A10" s="237">
        <v>45695</v>
      </c>
      <c r="B10" s="238"/>
      <c r="C10" s="174" t="s">
        <v>105</v>
      </c>
      <c r="D10" s="239"/>
      <c r="E10" s="179"/>
      <c r="F10" s="239">
        <v>1200000</v>
      </c>
      <c r="G10" s="179"/>
      <c r="H10" s="50">
        <f t="shared" si="0"/>
        <v>1200000</v>
      </c>
      <c r="I10" s="48">
        <v>0</v>
      </c>
      <c r="J10" s="52">
        <f t="shared" si="1"/>
        <v>1200000</v>
      </c>
      <c r="K10" s="3"/>
      <c r="L10" s="168">
        <v>45695</v>
      </c>
      <c r="M10" s="203"/>
      <c r="N10" s="158">
        <f t="shared" si="2"/>
        <v>1200000</v>
      </c>
      <c r="P10" s="81">
        <f t="shared" ref="P10:P33" si="3">J10-M10-N10</f>
        <v>0</v>
      </c>
      <c r="R10" s="174"/>
      <c r="S10" s="174"/>
      <c r="T10" s="174"/>
      <c r="U10" s="174"/>
    </row>
    <row r="11" spans="1:21" s="4" customFormat="1" ht="15.75" x14ac:dyDescent="0.25">
      <c r="A11" s="237">
        <v>45695</v>
      </c>
      <c r="B11" s="242" t="s">
        <v>106</v>
      </c>
      <c r="C11" s="174" t="s">
        <v>58</v>
      </c>
      <c r="D11" s="239"/>
      <c r="E11" s="179">
        <v>36500000</v>
      </c>
      <c r="F11" s="239"/>
      <c r="G11" s="179"/>
      <c r="H11" s="50">
        <f t="shared" si="0"/>
        <v>36500000</v>
      </c>
      <c r="I11" s="48">
        <f t="shared" ref="I11:I13" si="4">H11*0.11</f>
        <v>4015000</v>
      </c>
      <c r="J11" s="52">
        <f t="shared" si="1"/>
        <v>40515000</v>
      </c>
      <c r="K11" s="3"/>
      <c r="L11" s="168">
        <v>45695</v>
      </c>
      <c r="M11" s="203"/>
      <c r="N11" s="158">
        <f t="shared" si="2"/>
        <v>40515000</v>
      </c>
      <c r="P11" s="81">
        <f t="shared" si="3"/>
        <v>0</v>
      </c>
      <c r="R11" s="174"/>
      <c r="S11" s="174"/>
      <c r="T11" s="174"/>
      <c r="U11" s="174"/>
    </row>
    <row r="12" spans="1:21" s="4" customFormat="1" ht="15.75" x14ac:dyDescent="0.25">
      <c r="A12" s="237">
        <v>45699</v>
      </c>
      <c r="B12" s="242" t="s">
        <v>107</v>
      </c>
      <c r="C12" s="174" t="s">
        <v>58</v>
      </c>
      <c r="D12" s="239"/>
      <c r="E12" s="179">
        <v>72425000</v>
      </c>
      <c r="F12" s="239"/>
      <c r="G12" s="179"/>
      <c r="H12" s="50">
        <f t="shared" si="0"/>
        <v>72425000</v>
      </c>
      <c r="I12" s="48">
        <f t="shared" si="4"/>
        <v>7966750</v>
      </c>
      <c r="J12" s="52">
        <f t="shared" si="1"/>
        <v>80391750</v>
      </c>
      <c r="K12" s="3"/>
      <c r="L12" s="168">
        <v>45699</v>
      </c>
      <c r="M12" s="203"/>
      <c r="N12" s="158">
        <f t="shared" si="2"/>
        <v>80391750</v>
      </c>
      <c r="P12" s="81">
        <f t="shared" si="3"/>
        <v>0</v>
      </c>
      <c r="R12" s="174"/>
      <c r="S12" s="174"/>
      <c r="T12" s="174"/>
      <c r="U12" s="174"/>
    </row>
    <row r="13" spans="1:21" s="4" customFormat="1" ht="15.75" x14ac:dyDescent="0.25">
      <c r="A13" s="237">
        <v>45693</v>
      </c>
      <c r="B13" s="242" t="s">
        <v>108</v>
      </c>
      <c r="C13" s="174" t="s">
        <v>63</v>
      </c>
      <c r="D13" s="239"/>
      <c r="E13" s="179"/>
      <c r="F13" s="239">
        <v>7650000</v>
      </c>
      <c r="G13" s="179"/>
      <c r="H13" s="50">
        <f t="shared" si="0"/>
        <v>7650000</v>
      </c>
      <c r="I13" s="48">
        <f t="shared" si="4"/>
        <v>841500</v>
      </c>
      <c r="J13" s="52">
        <f t="shared" si="1"/>
        <v>8491500</v>
      </c>
      <c r="K13" s="3"/>
      <c r="L13" s="168">
        <v>45716</v>
      </c>
      <c r="M13" s="203"/>
      <c r="N13" s="158">
        <f>J13-M13</f>
        <v>8491500</v>
      </c>
      <c r="P13" s="81">
        <f t="shared" si="3"/>
        <v>0</v>
      </c>
      <c r="R13" s="174"/>
      <c r="S13" s="174"/>
      <c r="T13" s="174"/>
      <c r="U13" s="174"/>
    </row>
    <row r="14" spans="1:21" s="4" customFormat="1" ht="15.75" x14ac:dyDescent="0.25">
      <c r="A14" s="237">
        <v>45692</v>
      </c>
      <c r="B14" s="238" t="s">
        <v>109</v>
      </c>
      <c r="C14" s="174" t="s">
        <v>56</v>
      </c>
      <c r="D14" s="239"/>
      <c r="E14" s="179"/>
      <c r="F14" s="239">
        <v>80000000</v>
      </c>
      <c r="G14" s="179"/>
      <c r="H14" s="50">
        <f t="shared" si="0"/>
        <v>80000000</v>
      </c>
      <c r="I14" s="48">
        <f t="shared" ref="I14:I20" si="5">H14*0.11</f>
        <v>8800000</v>
      </c>
      <c r="J14" s="52">
        <f t="shared" si="1"/>
        <v>88800000</v>
      </c>
      <c r="K14" s="3"/>
      <c r="L14" s="168">
        <v>45692</v>
      </c>
      <c r="M14" s="203"/>
      <c r="N14" s="158">
        <f>J14-M14</f>
        <v>88800000</v>
      </c>
      <c r="P14" s="81">
        <f t="shared" si="3"/>
        <v>0</v>
      </c>
      <c r="R14" s="174"/>
      <c r="S14" s="174"/>
      <c r="T14" s="174"/>
      <c r="U14" s="174"/>
    </row>
    <row r="15" spans="1:21" s="4" customFormat="1" ht="15.75" x14ac:dyDescent="0.25">
      <c r="A15" s="237">
        <v>45702</v>
      </c>
      <c r="B15" s="242" t="s">
        <v>110</v>
      </c>
      <c r="C15" s="174" t="s">
        <v>58</v>
      </c>
      <c r="D15" s="239"/>
      <c r="E15" s="179"/>
      <c r="F15" s="239">
        <v>27500000</v>
      </c>
      <c r="G15" s="179"/>
      <c r="H15" s="50">
        <f t="shared" si="0"/>
        <v>27500000</v>
      </c>
      <c r="I15" s="48">
        <f t="shared" si="5"/>
        <v>3025000</v>
      </c>
      <c r="J15" s="52">
        <f t="shared" si="1"/>
        <v>30525000</v>
      </c>
      <c r="K15" s="3"/>
      <c r="L15" s="168">
        <v>45702</v>
      </c>
      <c r="M15" s="203"/>
      <c r="N15" s="158">
        <f>J15-M15</f>
        <v>30525000</v>
      </c>
      <c r="P15" s="81">
        <f t="shared" si="3"/>
        <v>0</v>
      </c>
      <c r="R15" s="174"/>
      <c r="S15" s="174"/>
      <c r="T15" s="174"/>
      <c r="U15" s="174"/>
    </row>
    <row r="16" spans="1:21" s="4" customFormat="1" ht="15.75" x14ac:dyDescent="0.25">
      <c r="A16" s="237">
        <v>45705</v>
      </c>
      <c r="B16" s="238" t="s">
        <v>111</v>
      </c>
      <c r="C16" s="174" t="s">
        <v>112</v>
      </c>
      <c r="D16" s="239">
        <v>12000000</v>
      </c>
      <c r="E16" s="179"/>
      <c r="F16" s="239"/>
      <c r="G16" s="179"/>
      <c r="H16" s="50">
        <f>SUM(D16:G16)</f>
        <v>12000000</v>
      </c>
      <c r="I16" s="48">
        <f t="shared" si="5"/>
        <v>1320000</v>
      </c>
      <c r="J16" s="52">
        <f t="shared" si="1"/>
        <v>13320000</v>
      </c>
      <c r="K16" s="3"/>
      <c r="L16" s="168">
        <v>45705</v>
      </c>
      <c r="M16" s="203"/>
      <c r="N16" s="158">
        <f t="shared" ref="N16:N33" si="6">J16-M16</f>
        <v>13320000</v>
      </c>
      <c r="P16" s="81">
        <f t="shared" si="3"/>
        <v>0</v>
      </c>
      <c r="R16" s="174"/>
      <c r="S16" s="174"/>
      <c r="T16" s="174"/>
      <c r="U16" s="174"/>
    </row>
    <row r="17" spans="1:21" s="4" customFormat="1" ht="15.75" x14ac:dyDescent="0.25">
      <c r="A17" s="237">
        <v>45707</v>
      </c>
      <c r="B17" s="238" t="s">
        <v>113</v>
      </c>
      <c r="C17" s="174" t="s">
        <v>114</v>
      </c>
      <c r="D17" s="239"/>
      <c r="E17" s="179"/>
      <c r="F17" s="239">
        <v>850990000</v>
      </c>
      <c r="G17" s="179"/>
      <c r="H17" s="50">
        <f t="shared" si="0"/>
        <v>850990000</v>
      </c>
      <c r="I17" s="48">
        <f t="shared" si="5"/>
        <v>93608900</v>
      </c>
      <c r="J17" s="52">
        <f t="shared" si="1"/>
        <v>944598900</v>
      </c>
      <c r="K17" s="3"/>
      <c r="L17" s="168"/>
      <c r="M17" s="203"/>
      <c r="N17" s="158">
        <v>0</v>
      </c>
      <c r="P17" s="81">
        <f t="shared" si="3"/>
        <v>944598900</v>
      </c>
      <c r="R17" s="174"/>
      <c r="S17" s="174"/>
      <c r="T17" s="174"/>
      <c r="U17" s="174"/>
    </row>
    <row r="18" spans="1:21" s="4" customFormat="1" ht="15.75" x14ac:dyDescent="0.25">
      <c r="A18" s="237">
        <v>45706</v>
      </c>
      <c r="B18" s="242" t="s">
        <v>115</v>
      </c>
      <c r="C18" s="174" t="s">
        <v>58</v>
      </c>
      <c r="D18" s="239"/>
      <c r="E18" s="179">
        <v>22500000</v>
      </c>
      <c r="F18" s="239"/>
      <c r="G18" s="179"/>
      <c r="H18" s="50">
        <f t="shared" ref="H18:H31" si="7">SUM(D18:G18)</f>
        <v>22500000</v>
      </c>
      <c r="I18" s="48">
        <f t="shared" si="5"/>
        <v>2475000</v>
      </c>
      <c r="J18" s="52">
        <f t="shared" ref="J18:J31" si="8">H18+I18</f>
        <v>24975000</v>
      </c>
      <c r="K18" s="3"/>
      <c r="L18" s="168">
        <v>45706</v>
      </c>
      <c r="M18" s="203"/>
      <c r="N18" s="158">
        <f>J18-M18</f>
        <v>24975000</v>
      </c>
      <c r="P18" s="81">
        <f t="shared" si="3"/>
        <v>0</v>
      </c>
      <c r="R18" s="174"/>
      <c r="S18" s="174"/>
      <c r="T18" s="174"/>
      <c r="U18" s="174"/>
    </row>
    <row r="19" spans="1:21" s="4" customFormat="1" ht="15.75" x14ac:dyDescent="0.25">
      <c r="A19" s="237">
        <v>45706</v>
      </c>
      <c r="B19" s="238" t="s">
        <v>116</v>
      </c>
      <c r="C19" s="174" t="s">
        <v>117</v>
      </c>
      <c r="D19" s="239"/>
      <c r="E19" s="179">
        <v>46800000</v>
      </c>
      <c r="F19" s="239"/>
      <c r="G19" s="179"/>
      <c r="H19" s="50">
        <f t="shared" si="7"/>
        <v>46800000</v>
      </c>
      <c r="I19" s="48">
        <f t="shared" si="5"/>
        <v>5148000</v>
      </c>
      <c r="J19" s="52">
        <f t="shared" si="8"/>
        <v>51948000</v>
      </c>
      <c r="K19" s="3"/>
      <c r="L19" s="168">
        <v>45706</v>
      </c>
      <c r="M19" s="203"/>
      <c r="N19" s="158">
        <f>J19-M19</f>
        <v>51948000</v>
      </c>
      <c r="P19" s="81">
        <f t="shared" si="3"/>
        <v>0</v>
      </c>
      <c r="R19" s="174"/>
      <c r="S19" s="174"/>
      <c r="T19" s="174"/>
      <c r="U19" s="174"/>
    </row>
    <row r="20" spans="1:21" s="4" customFormat="1" ht="15.75" x14ac:dyDescent="0.25">
      <c r="A20" s="237">
        <v>45707</v>
      </c>
      <c r="B20" s="242" t="s">
        <v>118</v>
      </c>
      <c r="C20" s="174" t="s">
        <v>119</v>
      </c>
      <c r="D20" s="239"/>
      <c r="E20" s="179"/>
      <c r="F20" s="239">
        <f>270000/1.11</f>
        <v>243243.24324324323</v>
      </c>
      <c r="G20" s="179"/>
      <c r="H20" s="50">
        <f t="shared" si="7"/>
        <v>243243.24324324323</v>
      </c>
      <c r="I20" s="48">
        <f t="shared" si="5"/>
        <v>26756.756756756757</v>
      </c>
      <c r="J20" s="52">
        <f t="shared" si="8"/>
        <v>270000</v>
      </c>
      <c r="K20" s="3"/>
      <c r="L20" s="168">
        <v>45707</v>
      </c>
      <c r="M20" s="203"/>
      <c r="N20" s="158">
        <f>J20-M20</f>
        <v>270000</v>
      </c>
      <c r="P20" s="81">
        <f t="shared" si="3"/>
        <v>0</v>
      </c>
      <c r="R20" s="174"/>
      <c r="S20" s="174"/>
      <c r="T20" s="174"/>
      <c r="U20" s="174"/>
    </row>
    <row r="21" spans="1:21" s="4" customFormat="1" ht="15.75" x14ac:dyDescent="0.25">
      <c r="A21" s="237">
        <v>45707</v>
      </c>
      <c r="B21" s="242" t="s">
        <v>120</v>
      </c>
      <c r="C21" s="174" t="s">
        <v>58</v>
      </c>
      <c r="D21" s="239"/>
      <c r="E21" s="179">
        <v>36500000</v>
      </c>
      <c r="F21" s="239"/>
      <c r="G21" s="179"/>
      <c r="H21" s="50">
        <f t="shared" ref="H21:H29" si="9">SUM(D21:G21)</f>
        <v>36500000</v>
      </c>
      <c r="I21" s="48">
        <f t="shared" ref="I21:I29" si="10">H21*0.11</f>
        <v>4015000</v>
      </c>
      <c r="J21" s="52">
        <f t="shared" ref="J21:J29" si="11">H21+I21</f>
        <v>40515000</v>
      </c>
      <c r="K21" s="3"/>
      <c r="L21" s="168">
        <v>45707</v>
      </c>
      <c r="M21" s="203"/>
      <c r="N21" s="158">
        <f t="shared" ref="N21:N29" si="12">J21-M21</f>
        <v>40515000</v>
      </c>
      <c r="P21" s="81">
        <f t="shared" si="3"/>
        <v>0</v>
      </c>
      <c r="R21" s="174"/>
      <c r="S21" s="174"/>
      <c r="T21" s="174"/>
      <c r="U21" s="174"/>
    </row>
    <row r="22" spans="1:21" s="4" customFormat="1" ht="15.75" x14ac:dyDescent="0.25">
      <c r="A22" s="237">
        <v>45708</v>
      </c>
      <c r="B22" s="242" t="s">
        <v>121</v>
      </c>
      <c r="C22" s="174" t="s">
        <v>37</v>
      </c>
      <c r="D22" s="239"/>
      <c r="E22" s="179"/>
      <c r="F22" s="239">
        <v>32452500</v>
      </c>
      <c r="G22" s="179"/>
      <c r="H22" s="50">
        <f t="shared" si="9"/>
        <v>32452500</v>
      </c>
      <c r="I22" s="48">
        <f t="shared" si="10"/>
        <v>3569775</v>
      </c>
      <c r="J22" s="52">
        <f t="shared" si="11"/>
        <v>36022275</v>
      </c>
      <c r="K22" s="3"/>
      <c r="L22" s="168"/>
      <c r="M22" s="203"/>
      <c r="N22" s="158">
        <v>0</v>
      </c>
      <c r="P22" s="81">
        <f t="shared" si="3"/>
        <v>36022275</v>
      </c>
      <c r="R22" s="174"/>
      <c r="S22" s="174"/>
      <c r="T22" s="174"/>
      <c r="U22" s="174"/>
    </row>
    <row r="23" spans="1:21" s="4" customFormat="1" ht="15.75" x14ac:dyDescent="0.25">
      <c r="A23" s="237">
        <v>45708</v>
      </c>
      <c r="B23" s="242" t="s">
        <v>122</v>
      </c>
      <c r="C23" s="174" t="s">
        <v>37</v>
      </c>
      <c r="D23" s="239"/>
      <c r="E23" s="179"/>
      <c r="F23" s="239">
        <v>9900000</v>
      </c>
      <c r="G23" s="179"/>
      <c r="H23" s="50">
        <f t="shared" si="9"/>
        <v>9900000</v>
      </c>
      <c r="I23" s="48">
        <f t="shared" si="10"/>
        <v>1089000</v>
      </c>
      <c r="J23" s="52">
        <f t="shared" si="11"/>
        <v>10989000</v>
      </c>
      <c r="K23" s="3"/>
      <c r="L23" s="168"/>
      <c r="M23" s="203"/>
      <c r="N23" s="158">
        <v>0</v>
      </c>
      <c r="P23" s="81">
        <f t="shared" si="3"/>
        <v>10989000</v>
      </c>
      <c r="R23" s="174"/>
      <c r="S23" s="174"/>
      <c r="T23" s="174"/>
      <c r="U23" s="174"/>
    </row>
    <row r="24" spans="1:21" s="4" customFormat="1" ht="15.75" x14ac:dyDescent="0.25">
      <c r="A24" s="237">
        <v>45712</v>
      </c>
      <c r="B24" s="242" t="s">
        <v>123</v>
      </c>
      <c r="C24" s="174" t="s">
        <v>38</v>
      </c>
      <c r="D24" s="239"/>
      <c r="E24" s="179"/>
      <c r="F24" s="239">
        <v>26250000</v>
      </c>
      <c r="G24" s="179"/>
      <c r="H24" s="50">
        <f t="shared" si="9"/>
        <v>26250000</v>
      </c>
      <c r="I24" s="48">
        <f t="shared" si="10"/>
        <v>2887500</v>
      </c>
      <c r="J24" s="52">
        <f t="shared" si="11"/>
        <v>29137500</v>
      </c>
      <c r="K24" s="3"/>
      <c r="L24" s="168"/>
      <c r="M24" s="203"/>
      <c r="N24" s="158">
        <v>0</v>
      </c>
      <c r="P24" s="81">
        <f t="shared" si="3"/>
        <v>29137500</v>
      </c>
      <c r="R24" s="174"/>
      <c r="S24" s="174"/>
      <c r="T24" s="174"/>
      <c r="U24" s="174"/>
    </row>
    <row r="25" spans="1:21" s="4" customFormat="1" ht="15.75" x14ac:dyDescent="0.25">
      <c r="A25" s="237">
        <v>45714</v>
      </c>
      <c r="B25" s="242" t="s">
        <v>124</v>
      </c>
      <c r="C25" s="174" t="s">
        <v>74</v>
      </c>
      <c r="D25" s="239"/>
      <c r="E25" s="179"/>
      <c r="F25" s="239">
        <v>79546250</v>
      </c>
      <c r="G25" s="179"/>
      <c r="H25" s="50">
        <f t="shared" si="9"/>
        <v>79546250</v>
      </c>
      <c r="I25" s="48">
        <f t="shared" si="10"/>
        <v>8750087.5</v>
      </c>
      <c r="J25" s="52">
        <f t="shared" si="11"/>
        <v>88296337.5</v>
      </c>
      <c r="K25" s="3"/>
      <c r="L25" s="168"/>
      <c r="M25" s="203"/>
      <c r="N25" s="158">
        <v>0</v>
      </c>
      <c r="P25" s="81">
        <f t="shared" si="3"/>
        <v>88296337.5</v>
      </c>
      <c r="R25" s="174"/>
      <c r="S25" s="174"/>
      <c r="T25" s="174"/>
      <c r="U25" s="174"/>
    </row>
    <row r="26" spans="1:21" s="4" customFormat="1" ht="15.75" x14ac:dyDescent="0.25">
      <c r="A26" s="237">
        <v>45714</v>
      </c>
      <c r="B26" s="242" t="s">
        <v>125</v>
      </c>
      <c r="C26" s="174" t="s">
        <v>59</v>
      </c>
      <c r="D26" s="239"/>
      <c r="E26" s="179"/>
      <c r="F26" s="239">
        <v>7500000</v>
      </c>
      <c r="G26" s="179"/>
      <c r="H26" s="50">
        <f t="shared" si="9"/>
        <v>7500000</v>
      </c>
      <c r="I26" s="48">
        <f t="shared" si="10"/>
        <v>825000</v>
      </c>
      <c r="J26" s="52">
        <f t="shared" si="11"/>
        <v>8325000</v>
      </c>
      <c r="K26" s="3"/>
      <c r="L26" s="168">
        <v>45707</v>
      </c>
      <c r="M26" s="203"/>
      <c r="N26" s="158">
        <f t="shared" si="12"/>
        <v>8325000</v>
      </c>
      <c r="P26" s="81">
        <f t="shared" si="3"/>
        <v>0</v>
      </c>
      <c r="R26" s="174"/>
      <c r="S26" s="174"/>
      <c r="T26" s="174"/>
      <c r="U26" s="174"/>
    </row>
    <row r="27" spans="1:21" s="4" customFormat="1" ht="15.75" x14ac:dyDescent="0.25">
      <c r="A27" s="237">
        <v>45714</v>
      </c>
      <c r="B27" s="242" t="s">
        <v>126</v>
      </c>
      <c r="C27" s="174" t="s">
        <v>39</v>
      </c>
      <c r="D27" s="239"/>
      <c r="E27" s="179"/>
      <c r="F27" s="239">
        <v>33300000</v>
      </c>
      <c r="G27" s="179"/>
      <c r="H27" s="50">
        <f t="shared" si="9"/>
        <v>33300000</v>
      </c>
      <c r="I27" s="48">
        <f t="shared" si="10"/>
        <v>3663000</v>
      </c>
      <c r="J27" s="52">
        <f t="shared" si="11"/>
        <v>36963000</v>
      </c>
      <c r="K27" s="3"/>
      <c r="L27" s="168"/>
      <c r="M27" s="203"/>
      <c r="N27" s="158">
        <v>0</v>
      </c>
      <c r="P27" s="81">
        <f t="shared" si="3"/>
        <v>36963000</v>
      </c>
      <c r="R27" s="174"/>
      <c r="S27" s="174"/>
      <c r="T27" s="174"/>
      <c r="U27" s="174"/>
    </row>
    <row r="28" spans="1:21" s="4" customFormat="1" ht="15.75" x14ac:dyDescent="0.25">
      <c r="A28" s="237">
        <v>45715</v>
      </c>
      <c r="B28" s="242" t="s">
        <v>127</v>
      </c>
      <c r="C28" s="174" t="s">
        <v>98</v>
      </c>
      <c r="D28" s="239"/>
      <c r="E28" s="179">
        <v>8000000</v>
      </c>
      <c r="F28" s="239"/>
      <c r="G28" s="179"/>
      <c r="H28" s="50">
        <f t="shared" si="9"/>
        <v>8000000</v>
      </c>
      <c r="I28" s="48">
        <f t="shared" si="10"/>
        <v>880000</v>
      </c>
      <c r="J28" s="52">
        <f t="shared" si="11"/>
        <v>8880000</v>
      </c>
      <c r="K28" s="3"/>
      <c r="L28" s="168">
        <v>45716</v>
      </c>
      <c r="M28" s="203"/>
      <c r="N28" s="158">
        <f>J28-M28</f>
        <v>8880000</v>
      </c>
      <c r="P28" s="81">
        <f t="shared" si="3"/>
        <v>0</v>
      </c>
      <c r="R28" s="174"/>
      <c r="S28" s="174"/>
      <c r="T28" s="174"/>
      <c r="U28" s="174"/>
    </row>
    <row r="29" spans="1:21" s="4" customFormat="1" ht="15.75" x14ac:dyDescent="0.25">
      <c r="A29" s="237"/>
      <c r="B29" s="242"/>
      <c r="C29" s="174"/>
      <c r="D29" s="239"/>
      <c r="E29" s="179"/>
      <c r="F29" s="239"/>
      <c r="G29" s="179"/>
      <c r="H29" s="50">
        <f t="shared" si="9"/>
        <v>0</v>
      </c>
      <c r="I29" s="48">
        <f t="shared" si="10"/>
        <v>0</v>
      </c>
      <c r="J29" s="52">
        <f t="shared" si="11"/>
        <v>0</v>
      </c>
      <c r="K29" s="3"/>
      <c r="L29" s="168"/>
      <c r="M29" s="203"/>
      <c r="N29" s="158">
        <f t="shared" si="12"/>
        <v>0</v>
      </c>
      <c r="P29" s="81">
        <f t="shared" si="3"/>
        <v>0</v>
      </c>
      <c r="R29" s="174"/>
      <c r="S29" s="174"/>
      <c r="T29" s="174"/>
      <c r="U29" s="174"/>
    </row>
    <row r="30" spans="1:21" s="4" customFormat="1" ht="15.75" x14ac:dyDescent="0.25">
      <c r="A30" s="237"/>
      <c r="B30" s="238"/>
      <c r="C30" s="174"/>
      <c r="D30" s="239"/>
      <c r="E30" s="179"/>
      <c r="F30" s="239"/>
      <c r="G30" s="179"/>
      <c r="H30" s="50">
        <f t="shared" si="7"/>
        <v>0</v>
      </c>
      <c r="I30" s="48">
        <f>H30*0.11</f>
        <v>0</v>
      </c>
      <c r="J30" s="52">
        <f t="shared" si="8"/>
        <v>0</v>
      </c>
      <c r="K30" s="3"/>
      <c r="L30" s="168"/>
      <c r="M30" s="203"/>
      <c r="N30" s="158">
        <v>0</v>
      </c>
      <c r="P30" s="81">
        <f t="shared" si="3"/>
        <v>0</v>
      </c>
      <c r="R30" s="174"/>
      <c r="S30" s="174"/>
      <c r="T30" s="174"/>
      <c r="U30" s="174"/>
    </row>
    <row r="31" spans="1:21" s="4" customFormat="1" ht="15.75" x14ac:dyDescent="0.25">
      <c r="A31" s="237"/>
      <c r="B31" s="238"/>
      <c r="C31" s="174"/>
      <c r="D31" s="239"/>
      <c r="E31" s="179"/>
      <c r="F31" s="239"/>
      <c r="G31" s="179"/>
      <c r="H31" s="50">
        <f t="shared" si="7"/>
        <v>0</v>
      </c>
      <c r="I31" s="48">
        <f>H31*0.11</f>
        <v>0</v>
      </c>
      <c r="J31" s="52">
        <f t="shared" si="8"/>
        <v>0</v>
      </c>
      <c r="K31" s="3"/>
      <c r="L31" s="168"/>
      <c r="M31" s="203"/>
      <c r="N31" s="158">
        <v>0</v>
      </c>
      <c r="P31" s="81">
        <f t="shared" si="3"/>
        <v>0</v>
      </c>
      <c r="R31" s="174"/>
      <c r="S31" s="174"/>
      <c r="T31" s="174"/>
      <c r="U31" s="174"/>
    </row>
    <row r="32" spans="1:21" s="4" customFormat="1" ht="15.75" x14ac:dyDescent="0.25">
      <c r="A32" s="237"/>
      <c r="B32" s="238"/>
      <c r="C32" s="174"/>
      <c r="D32" s="239"/>
      <c r="E32" s="179"/>
      <c r="F32" s="239"/>
      <c r="G32" s="179"/>
      <c r="H32" s="50">
        <f t="shared" si="0"/>
        <v>0</v>
      </c>
      <c r="I32" s="48">
        <f t="shared" ref="I32:I33" si="13">H32*0.11</f>
        <v>0</v>
      </c>
      <c r="J32" s="52">
        <f t="shared" si="1"/>
        <v>0</v>
      </c>
      <c r="K32" s="3"/>
      <c r="L32" s="168"/>
      <c r="M32" s="203"/>
      <c r="N32" s="158">
        <f t="shared" si="6"/>
        <v>0</v>
      </c>
      <c r="P32" s="81">
        <f t="shared" si="3"/>
        <v>0</v>
      </c>
      <c r="R32" s="174"/>
      <c r="S32" s="174"/>
      <c r="T32" s="174"/>
      <c r="U32" s="174"/>
    </row>
    <row r="33" spans="1:21" s="4" customFormat="1" ht="15.75" x14ac:dyDescent="0.25">
      <c r="A33" s="266"/>
      <c r="B33" s="205"/>
      <c r="C33" s="206"/>
      <c r="D33" s="267"/>
      <c r="E33" s="207"/>
      <c r="F33" s="268"/>
      <c r="G33" s="269"/>
      <c r="H33" s="208">
        <f t="shared" ref="H33" si="14">SUM(D33:G33)</f>
        <v>0</v>
      </c>
      <c r="I33" s="270">
        <f t="shared" si="13"/>
        <v>0</v>
      </c>
      <c r="J33" s="271">
        <f t="shared" ref="J33" si="15">H33+I33</f>
        <v>0</v>
      </c>
      <c r="K33" s="3"/>
      <c r="L33" s="154"/>
      <c r="M33" s="273"/>
      <c r="N33" s="251">
        <f t="shared" si="6"/>
        <v>0</v>
      </c>
      <c r="P33" s="274">
        <f t="shared" si="3"/>
        <v>0</v>
      </c>
      <c r="R33" s="25"/>
      <c r="S33" s="25"/>
      <c r="T33" s="145"/>
      <c r="U33" s="81"/>
    </row>
    <row r="34" spans="1:21" ht="21.75" customHeight="1" x14ac:dyDescent="0.25">
      <c r="A34" s="35"/>
      <c r="B34" s="35"/>
      <c r="C34" s="272" t="s">
        <v>0</v>
      </c>
      <c r="D34" s="131">
        <f t="shared" ref="D34:J34" si="16">SUM(D7:D33)</f>
        <v>12000000</v>
      </c>
      <c r="E34" s="131">
        <f t="shared" si="16"/>
        <v>274285000</v>
      </c>
      <c r="F34" s="131">
        <f t="shared" si="16"/>
        <v>1182031993.2432432</v>
      </c>
      <c r="G34" s="131">
        <f t="shared" si="16"/>
        <v>0</v>
      </c>
      <c r="H34" s="131">
        <f t="shared" si="16"/>
        <v>1468316993.2432432</v>
      </c>
      <c r="I34" s="131">
        <f t="shared" si="16"/>
        <v>159897869.25675675</v>
      </c>
      <c r="J34" s="131">
        <f t="shared" si="16"/>
        <v>1628214862.5</v>
      </c>
      <c r="L34" s="131"/>
      <c r="M34" s="131">
        <f>SUM(M7:M33)</f>
        <v>0</v>
      </c>
      <c r="N34" s="131">
        <f>SUM(N7:N33)</f>
        <v>482207850</v>
      </c>
      <c r="P34" s="131">
        <f>SUM(P7:P33)</f>
        <v>1146007012.5</v>
      </c>
      <c r="Q34" s="182"/>
      <c r="R34" s="44"/>
      <c r="S34" s="44"/>
      <c r="T34" s="44"/>
      <c r="U34" s="44">
        <f>SUM(U7:U33)</f>
        <v>0</v>
      </c>
    </row>
    <row r="35" spans="1:21" x14ac:dyDescent="0.25">
      <c r="H35" s="18"/>
      <c r="U35" s="16" t="e">
        <f>#REF!-U34</f>
        <v>#REF!</v>
      </c>
    </row>
    <row r="36" spans="1:21" x14ac:dyDescent="0.25">
      <c r="H36" s="17"/>
    </row>
    <row r="39" spans="1:21" x14ac:dyDescent="0.25">
      <c r="J39" s="138"/>
      <c r="N39" s="138"/>
    </row>
    <row r="41" spans="1:21" x14ac:dyDescent="0.25">
      <c r="J41" s="138"/>
    </row>
  </sheetData>
  <autoFilter ref="C1:C39" xr:uid="{00000000-0009-0000-0000-000002000000}"/>
  <mergeCells count="8">
    <mergeCell ref="M5:M6"/>
    <mergeCell ref="N5:N6"/>
    <mergeCell ref="P5:P6"/>
    <mergeCell ref="A5:A6"/>
    <mergeCell ref="B5:B6"/>
    <mergeCell ref="C5:C6"/>
    <mergeCell ref="D5:J5"/>
    <mergeCell ref="L5:L6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5"/>
  <sheetViews>
    <sheetView workbookViewId="0">
      <pane ySplit="6" topLeftCell="A7" activePane="bottomLeft" state="frozen"/>
      <selection pane="bottomLeft" activeCell="L17" sqref="L17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3.7109375" customWidth="1"/>
    <col min="4" max="4" width="15.42578125" customWidth="1"/>
    <col min="5" max="5" width="14.28515625" customWidth="1"/>
    <col min="6" max="6" width="15.28515625" customWidth="1"/>
    <col min="7" max="7" width="12.425781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6.28515625" customWidth="1"/>
    <col min="12" max="12" width="13.42578125" customWidth="1"/>
    <col min="13" max="13" width="10.7109375" customWidth="1"/>
    <col min="14" max="14" width="13.85546875" customWidth="1"/>
    <col min="15" max="15" width="4.42578125" customWidth="1"/>
    <col min="16" max="16" width="13.5703125" bestFit="1" customWidth="1"/>
    <col min="17" max="17" width="10.5703125" bestFit="1" customWidth="1"/>
    <col min="18" max="18" width="22" bestFit="1" customWidth="1"/>
    <col min="19" max="19" width="20.140625" bestFit="1" customWidth="1"/>
    <col min="21" max="21" width="13.28515625" bestFit="1" customWidth="1"/>
  </cols>
  <sheetData>
    <row r="1" spans="1:21" ht="19.5" x14ac:dyDescent="0.25">
      <c r="A1" s="2" t="s">
        <v>128</v>
      </c>
      <c r="B1" s="2"/>
      <c r="C1" s="4"/>
      <c r="D1" s="13"/>
      <c r="E1" s="6"/>
      <c r="F1" s="11"/>
      <c r="G1" s="10"/>
    </row>
    <row r="2" spans="1:21" ht="19.5" x14ac:dyDescent="0.25">
      <c r="A2" s="1"/>
      <c r="B2" s="1"/>
      <c r="C2" s="4"/>
      <c r="D2" s="13"/>
      <c r="E2" s="6"/>
      <c r="F2" s="4"/>
      <c r="G2" s="10"/>
    </row>
    <row r="3" spans="1:21" x14ac:dyDescent="0.25">
      <c r="A3" s="4"/>
      <c r="B3" s="4"/>
      <c r="C3" s="4"/>
      <c r="D3" s="13"/>
      <c r="E3" s="6"/>
      <c r="F3" s="4"/>
      <c r="G3" s="10"/>
    </row>
    <row r="4" spans="1:21" x14ac:dyDescent="0.25">
      <c r="A4" s="12" t="s">
        <v>3</v>
      </c>
      <c r="B4" s="4"/>
      <c r="C4" s="4"/>
      <c r="D4" s="13"/>
      <c r="E4" s="6"/>
      <c r="F4" s="4"/>
      <c r="G4" s="10"/>
    </row>
    <row r="5" spans="1:21" ht="22.5" customHeight="1" x14ac:dyDescent="0.25">
      <c r="A5" s="288" t="s">
        <v>2</v>
      </c>
      <c r="B5" s="290" t="s">
        <v>4</v>
      </c>
      <c r="C5" s="288" t="s">
        <v>34</v>
      </c>
      <c r="D5" s="282" t="s">
        <v>1</v>
      </c>
      <c r="E5" s="282"/>
      <c r="F5" s="282"/>
      <c r="G5" s="282"/>
      <c r="H5" s="282"/>
      <c r="I5" s="282"/>
      <c r="J5" s="282"/>
      <c r="L5" s="286" t="s">
        <v>25</v>
      </c>
      <c r="M5" s="286" t="s">
        <v>28</v>
      </c>
      <c r="N5" s="286" t="s">
        <v>26</v>
      </c>
      <c r="P5" s="286" t="s">
        <v>31</v>
      </c>
    </row>
    <row r="6" spans="1:21" ht="15.75" x14ac:dyDescent="0.25">
      <c r="A6" s="289"/>
      <c r="B6" s="291"/>
      <c r="C6" s="289"/>
      <c r="D6" s="38" t="s">
        <v>6</v>
      </c>
      <c r="E6" s="38" t="s">
        <v>5</v>
      </c>
      <c r="F6" s="39" t="s">
        <v>7</v>
      </c>
      <c r="G6" s="39" t="s">
        <v>8</v>
      </c>
      <c r="H6" s="39" t="s">
        <v>0</v>
      </c>
      <c r="I6" s="40" t="s">
        <v>3</v>
      </c>
      <c r="J6" s="40" t="s">
        <v>9</v>
      </c>
      <c r="L6" s="287"/>
      <c r="M6" s="287"/>
      <c r="N6" s="287"/>
      <c r="P6" s="286"/>
    </row>
    <row r="7" spans="1:21" s="4" customFormat="1" ht="15.75" x14ac:dyDescent="0.25">
      <c r="A7" s="20">
        <v>45723</v>
      </c>
      <c r="B7" s="224" t="s">
        <v>129</v>
      </c>
      <c r="C7" s="21" t="s">
        <v>130</v>
      </c>
      <c r="D7" s="22">
        <v>38400000</v>
      </c>
      <c r="E7" s="23"/>
      <c r="F7" s="22"/>
      <c r="G7" s="23"/>
      <c r="H7" s="49">
        <f>SUM(D7:G7)</f>
        <v>38400000</v>
      </c>
      <c r="I7" s="22">
        <f>H7*0.11</f>
        <v>4224000</v>
      </c>
      <c r="J7" s="59">
        <f>H7+I7</f>
        <v>42624000</v>
      </c>
      <c r="K7" s="3"/>
      <c r="L7" s="209">
        <v>45723</v>
      </c>
      <c r="M7" s="21"/>
      <c r="N7" s="152">
        <f t="shared" ref="N7:N18" si="0">J7-M7</f>
        <v>42624000</v>
      </c>
      <c r="P7" s="92">
        <f>J7-M7-N7</f>
        <v>0</v>
      </c>
      <c r="Q7" s="140"/>
      <c r="R7" s="126"/>
      <c r="S7" s="126"/>
      <c r="T7" s="126"/>
      <c r="U7" s="126"/>
    </row>
    <row r="8" spans="1:21" s="4" customFormat="1" ht="15.75" x14ac:dyDescent="0.25">
      <c r="A8" s="24">
        <v>45722</v>
      </c>
      <c r="B8" s="223" t="s">
        <v>131</v>
      </c>
      <c r="C8" s="25" t="s">
        <v>132</v>
      </c>
      <c r="D8" s="26">
        <v>18000000</v>
      </c>
      <c r="E8" s="27"/>
      <c r="F8" s="26"/>
      <c r="G8" s="27"/>
      <c r="H8" s="50">
        <f t="shared" ref="H8:H29" si="1">SUM(D8:G8)</f>
        <v>18000000</v>
      </c>
      <c r="I8" s="26">
        <f>H8*0.11</f>
        <v>1980000</v>
      </c>
      <c r="J8" s="60">
        <f t="shared" ref="J8:J29" si="2">H8+I8</f>
        <v>19980000</v>
      </c>
      <c r="K8" s="173"/>
      <c r="L8" s="166">
        <v>45722</v>
      </c>
      <c r="M8" s="165"/>
      <c r="N8" s="158">
        <f t="shared" si="0"/>
        <v>19980000</v>
      </c>
      <c r="O8" s="160"/>
      <c r="P8" s="95">
        <f>J8-M8-N8</f>
        <v>0</v>
      </c>
      <c r="R8" s="128"/>
      <c r="S8" s="128"/>
      <c r="T8" s="128"/>
      <c r="U8" s="128"/>
    </row>
    <row r="9" spans="1:21" s="4" customFormat="1" ht="15.75" x14ac:dyDescent="0.25">
      <c r="A9" s="24">
        <v>45721</v>
      </c>
      <c r="B9" s="24" t="s">
        <v>133</v>
      </c>
      <c r="C9" s="25" t="s">
        <v>117</v>
      </c>
      <c r="D9" s="26">
        <v>10000000</v>
      </c>
      <c r="E9" s="27"/>
      <c r="F9" s="26"/>
      <c r="G9" s="27"/>
      <c r="H9" s="50">
        <f t="shared" si="1"/>
        <v>10000000</v>
      </c>
      <c r="I9" s="26">
        <v>0</v>
      </c>
      <c r="J9" s="60">
        <f t="shared" si="2"/>
        <v>10000000</v>
      </c>
      <c r="K9" s="3"/>
      <c r="L9" s="166">
        <v>45721</v>
      </c>
      <c r="M9" s="165"/>
      <c r="N9" s="158">
        <f t="shared" si="0"/>
        <v>10000000</v>
      </c>
      <c r="P9" s="95">
        <f t="shared" ref="P9:P29" si="3">J9-M9-N9</f>
        <v>0</v>
      </c>
      <c r="R9" s="128"/>
      <c r="S9" s="128"/>
      <c r="T9" s="128"/>
      <c r="U9" s="128"/>
    </row>
    <row r="10" spans="1:21" s="4" customFormat="1" ht="15.75" x14ac:dyDescent="0.25">
      <c r="A10" s="205">
        <v>45730</v>
      </c>
      <c r="B10" s="205" t="s">
        <v>134</v>
      </c>
      <c r="C10" s="206" t="s">
        <v>135</v>
      </c>
      <c r="D10" s="207"/>
      <c r="E10" s="207"/>
      <c r="F10" s="207">
        <v>35000000</v>
      </c>
      <c r="G10" s="207"/>
      <c r="H10" s="208">
        <f t="shared" si="1"/>
        <v>35000000</v>
      </c>
      <c r="I10" s="26">
        <f t="shared" ref="I10:I29" si="4">H10*0.11</f>
        <v>3850000</v>
      </c>
      <c r="J10" s="156">
        <f t="shared" si="2"/>
        <v>38850000</v>
      </c>
      <c r="K10" s="3"/>
      <c r="L10" s="166"/>
      <c r="M10" s="25"/>
      <c r="N10" s="158">
        <v>0</v>
      </c>
      <c r="P10" s="95">
        <f t="shared" si="3"/>
        <v>38850000</v>
      </c>
      <c r="R10" s="128"/>
      <c r="S10" s="128"/>
      <c r="T10" s="128"/>
      <c r="U10" s="128"/>
    </row>
    <row r="11" spans="1:21" s="4" customFormat="1" ht="15.75" x14ac:dyDescent="0.25">
      <c r="A11" s="24">
        <v>45733</v>
      </c>
      <c r="B11" s="230" t="s">
        <v>136</v>
      </c>
      <c r="C11" s="25" t="s">
        <v>57</v>
      </c>
      <c r="D11" s="27">
        <v>5430000</v>
      </c>
      <c r="E11" s="27"/>
      <c r="F11" s="27"/>
      <c r="G11" s="27"/>
      <c r="H11" s="50">
        <f t="shared" si="1"/>
        <v>5430000</v>
      </c>
      <c r="I11" s="26">
        <v>0</v>
      </c>
      <c r="J11" s="147">
        <f t="shared" si="2"/>
        <v>5430000</v>
      </c>
      <c r="K11" s="3"/>
      <c r="L11" s="166"/>
      <c r="M11" s="25"/>
      <c r="N11" s="158">
        <v>0</v>
      </c>
      <c r="P11" s="95">
        <f t="shared" si="3"/>
        <v>5430000</v>
      </c>
      <c r="R11" s="128"/>
      <c r="S11" s="128"/>
      <c r="T11" s="128"/>
      <c r="U11" s="128"/>
    </row>
    <row r="12" spans="1:21" s="4" customFormat="1" ht="15.75" x14ac:dyDescent="0.25">
      <c r="A12" s="24">
        <v>45740</v>
      </c>
      <c r="B12" s="223" t="s">
        <v>137</v>
      </c>
      <c r="C12" s="25" t="s">
        <v>38</v>
      </c>
      <c r="D12" s="26"/>
      <c r="E12" s="27"/>
      <c r="F12" s="26">
        <f>500*42000</f>
        <v>21000000</v>
      </c>
      <c r="G12" s="27"/>
      <c r="H12" s="50">
        <f t="shared" si="1"/>
        <v>21000000</v>
      </c>
      <c r="I12" s="26">
        <f t="shared" si="4"/>
        <v>2310000</v>
      </c>
      <c r="J12" s="60">
        <f t="shared" si="2"/>
        <v>23310000</v>
      </c>
      <c r="K12" s="3"/>
      <c r="L12" s="204"/>
      <c r="M12" s="25"/>
      <c r="N12" s="158">
        <v>0</v>
      </c>
      <c r="P12" s="95">
        <f t="shared" si="3"/>
        <v>23310000</v>
      </c>
      <c r="R12" s="128"/>
      <c r="S12" s="128"/>
      <c r="T12" s="128"/>
      <c r="U12" s="128"/>
    </row>
    <row r="13" spans="1:21" s="4" customFormat="1" ht="15.75" x14ac:dyDescent="0.25">
      <c r="A13" s="24">
        <v>45741</v>
      </c>
      <c r="B13" s="223" t="s">
        <v>138</v>
      </c>
      <c r="C13" s="25" t="s">
        <v>39</v>
      </c>
      <c r="D13" s="26"/>
      <c r="E13" s="27"/>
      <c r="F13" s="26">
        <v>43300000</v>
      </c>
      <c r="G13" s="27"/>
      <c r="H13" s="50">
        <f t="shared" si="1"/>
        <v>43300000</v>
      </c>
      <c r="I13" s="26">
        <f t="shared" si="4"/>
        <v>4763000</v>
      </c>
      <c r="J13" s="60">
        <f t="shared" si="2"/>
        <v>48063000</v>
      </c>
      <c r="K13" s="3"/>
      <c r="L13" s="166"/>
      <c r="M13" s="25"/>
      <c r="N13" s="158">
        <v>0</v>
      </c>
      <c r="P13" s="95">
        <f t="shared" si="3"/>
        <v>48063000</v>
      </c>
      <c r="R13" s="128"/>
      <c r="S13" s="128"/>
      <c r="T13" s="128"/>
      <c r="U13" s="128"/>
    </row>
    <row r="14" spans="1:21" s="4" customFormat="1" ht="15.75" x14ac:dyDescent="0.25">
      <c r="A14" s="24">
        <v>45740</v>
      </c>
      <c r="B14" s="223" t="s">
        <v>143</v>
      </c>
      <c r="C14" s="25" t="s">
        <v>59</v>
      </c>
      <c r="D14" s="26"/>
      <c r="E14" s="27"/>
      <c r="F14" s="26">
        <v>33000000</v>
      </c>
      <c r="G14" s="27"/>
      <c r="H14" s="50">
        <f t="shared" ref="H14:H23" si="5">SUM(D14:G14)</f>
        <v>33000000</v>
      </c>
      <c r="I14" s="26">
        <f t="shared" ref="I14:I23" si="6">H14*0.11</f>
        <v>3630000</v>
      </c>
      <c r="J14" s="60">
        <f t="shared" ref="J14:J23" si="7">H14+I14</f>
        <v>36630000</v>
      </c>
      <c r="K14" s="3"/>
      <c r="L14" s="166">
        <v>45740</v>
      </c>
      <c r="M14" s="25"/>
      <c r="N14" s="158">
        <f t="shared" si="0"/>
        <v>36630000</v>
      </c>
      <c r="P14" s="95">
        <f t="shared" si="3"/>
        <v>0</v>
      </c>
      <c r="R14" s="128"/>
      <c r="S14" s="128"/>
      <c r="T14" s="128"/>
      <c r="U14" s="128"/>
    </row>
    <row r="15" spans="1:21" s="4" customFormat="1" ht="15.75" x14ac:dyDescent="0.25">
      <c r="A15" s="24">
        <v>45740</v>
      </c>
      <c r="B15" s="223" t="s">
        <v>144</v>
      </c>
      <c r="C15" s="25" t="s">
        <v>59</v>
      </c>
      <c r="D15" s="26"/>
      <c r="E15" s="27"/>
      <c r="F15" s="26">
        <v>15000000</v>
      </c>
      <c r="G15" s="27"/>
      <c r="H15" s="50">
        <f t="shared" si="5"/>
        <v>15000000</v>
      </c>
      <c r="I15" s="26">
        <f t="shared" si="6"/>
        <v>1650000</v>
      </c>
      <c r="J15" s="60">
        <f t="shared" si="7"/>
        <v>16650000</v>
      </c>
      <c r="K15" s="3"/>
      <c r="L15" s="166">
        <v>45740</v>
      </c>
      <c r="M15" s="25"/>
      <c r="N15" s="158">
        <f t="shared" si="0"/>
        <v>16650000</v>
      </c>
      <c r="P15" s="95">
        <f t="shared" si="3"/>
        <v>0</v>
      </c>
      <c r="R15" s="128"/>
      <c r="S15" s="128"/>
      <c r="T15" s="128"/>
      <c r="U15" s="128"/>
    </row>
    <row r="16" spans="1:21" s="4" customFormat="1" ht="15.75" x14ac:dyDescent="0.25">
      <c r="A16" s="24">
        <v>45740</v>
      </c>
      <c r="B16" s="223" t="s">
        <v>145</v>
      </c>
      <c r="C16" s="25" t="s">
        <v>59</v>
      </c>
      <c r="D16" s="26"/>
      <c r="E16" s="27"/>
      <c r="F16" s="26">
        <v>10500000</v>
      </c>
      <c r="G16" s="27"/>
      <c r="H16" s="50">
        <f t="shared" si="5"/>
        <v>10500000</v>
      </c>
      <c r="I16" s="26">
        <f t="shared" si="6"/>
        <v>1155000</v>
      </c>
      <c r="J16" s="60">
        <f t="shared" si="7"/>
        <v>11655000</v>
      </c>
      <c r="K16" s="3"/>
      <c r="L16" s="166">
        <v>45740</v>
      </c>
      <c r="M16" s="25"/>
      <c r="N16" s="158">
        <f t="shared" si="0"/>
        <v>11655000</v>
      </c>
      <c r="P16" s="95">
        <f t="shared" si="3"/>
        <v>0</v>
      </c>
      <c r="R16" s="128"/>
      <c r="S16" s="128"/>
      <c r="T16" s="128"/>
      <c r="U16" s="128"/>
    </row>
    <row r="17" spans="1:21" s="4" customFormat="1" ht="15.75" x14ac:dyDescent="0.25">
      <c r="A17" s="24"/>
      <c r="B17" s="223"/>
      <c r="C17" s="25"/>
      <c r="D17" s="26"/>
      <c r="E17" s="27"/>
      <c r="F17" s="26"/>
      <c r="G17" s="27"/>
      <c r="H17" s="50">
        <f t="shared" si="5"/>
        <v>0</v>
      </c>
      <c r="I17" s="26">
        <f t="shared" si="6"/>
        <v>0</v>
      </c>
      <c r="J17" s="60">
        <f t="shared" si="7"/>
        <v>0</v>
      </c>
      <c r="K17" s="3"/>
      <c r="L17" s="166"/>
      <c r="M17" s="25"/>
      <c r="N17" s="158">
        <f t="shared" si="0"/>
        <v>0</v>
      </c>
      <c r="P17" s="95">
        <f t="shared" si="3"/>
        <v>0</v>
      </c>
      <c r="R17" s="128"/>
      <c r="S17" s="128"/>
      <c r="T17" s="128"/>
      <c r="U17" s="128"/>
    </row>
    <row r="18" spans="1:21" s="4" customFormat="1" ht="15.75" x14ac:dyDescent="0.25">
      <c r="A18" s="24"/>
      <c r="B18" s="223"/>
      <c r="C18" s="25"/>
      <c r="D18" s="26"/>
      <c r="E18" s="27"/>
      <c r="F18" s="26"/>
      <c r="G18" s="27"/>
      <c r="H18" s="50">
        <f t="shared" si="5"/>
        <v>0</v>
      </c>
      <c r="I18" s="26">
        <f t="shared" si="6"/>
        <v>0</v>
      </c>
      <c r="J18" s="60">
        <f t="shared" si="7"/>
        <v>0</v>
      </c>
      <c r="K18" s="3"/>
      <c r="L18" s="166"/>
      <c r="M18" s="25"/>
      <c r="N18" s="158">
        <f t="shared" si="0"/>
        <v>0</v>
      </c>
      <c r="P18" s="95">
        <f t="shared" si="3"/>
        <v>0</v>
      </c>
      <c r="R18" s="128"/>
      <c r="S18" s="128"/>
      <c r="T18" s="128"/>
      <c r="U18" s="128"/>
    </row>
    <row r="19" spans="1:21" s="4" customFormat="1" ht="15.75" x14ac:dyDescent="0.25">
      <c r="A19" s="24"/>
      <c r="B19" s="223"/>
      <c r="C19" s="25"/>
      <c r="D19" s="26"/>
      <c r="E19" s="27"/>
      <c r="F19" s="26"/>
      <c r="G19" s="27"/>
      <c r="H19" s="50">
        <f t="shared" si="5"/>
        <v>0</v>
      </c>
      <c r="I19" s="26">
        <f t="shared" si="6"/>
        <v>0</v>
      </c>
      <c r="J19" s="60">
        <f t="shared" si="7"/>
        <v>0</v>
      </c>
      <c r="K19" s="3"/>
      <c r="L19" s="166"/>
      <c r="M19" s="25"/>
      <c r="N19" s="158">
        <v>0</v>
      </c>
      <c r="P19" s="95">
        <f t="shared" si="3"/>
        <v>0</v>
      </c>
      <c r="R19" s="128"/>
      <c r="S19" s="128"/>
      <c r="T19" s="128"/>
      <c r="U19" s="128"/>
    </row>
    <row r="20" spans="1:21" s="4" customFormat="1" ht="15.75" x14ac:dyDescent="0.25">
      <c r="A20" s="24"/>
      <c r="B20" s="223"/>
      <c r="C20" s="25"/>
      <c r="D20" s="26"/>
      <c r="E20" s="27"/>
      <c r="F20" s="26"/>
      <c r="G20" s="27"/>
      <c r="H20" s="50">
        <f t="shared" si="5"/>
        <v>0</v>
      </c>
      <c r="I20" s="26">
        <f t="shared" si="6"/>
        <v>0</v>
      </c>
      <c r="J20" s="60">
        <f t="shared" si="7"/>
        <v>0</v>
      </c>
      <c r="K20" s="3"/>
      <c r="L20" s="166"/>
      <c r="M20" s="25"/>
      <c r="N20" s="158">
        <v>0</v>
      </c>
      <c r="P20" s="95">
        <f t="shared" si="3"/>
        <v>0</v>
      </c>
      <c r="R20" s="128"/>
      <c r="S20" s="128"/>
      <c r="T20" s="128"/>
      <c r="U20" s="128"/>
    </row>
    <row r="21" spans="1:21" s="4" customFormat="1" ht="15.75" x14ac:dyDescent="0.25">
      <c r="A21" s="24"/>
      <c r="B21" s="223"/>
      <c r="C21" s="25"/>
      <c r="D21" s="26"/>
      <c r="E21" s="27"/>
      <c r="F21" s="26"/>
      <c r="G21" s="27"/>
      <c r="H21" s="50">
        <f t="shared" si="5"/>
        <v>0</v>
      </c>
      <c r="I21" s="26">
        <f t="shared" si="6"/>
        <v>0</v>
      </c>
      <c r="J21" s="60">
        <f t="shared" si="7"/>
        <v>0</v>
      </c>
      <c r="K21" s="3"/>
      <c r="L21" s="166"/>
      <c r="M21" s="25"/>
      <c r="N21" s="158">
        <v>0</v>
      </c>
      <c r="P21" s="95">
        <f t="shared" si="3"/>
        <v>0</v>
      </c>
      <c r="R21" s="128"/>
      <c r="S21" s="128"/>
      <c r="T21" s="128"/>
      <c r="U21" s="128"/>
    </row>
    <row r="22" spans="1:21" s="4" customFormat="1" ht="15.75" x14ac:dyDescent="0.25">
      <c r="A22" s="24"/>
      <c r="B22" s="223"/>
      <c r="C22" s="25"/>
      <c r="D22" s="26"/>
      <c r="E22" s="27"/>
      <c r="F22" s="26"/>
      <c r="G22" s="27"/>
      <c r="H22" s="50">
        <f t="shared" si="5"/>
        <v>0</v>
      </c>
      <c r="I22" s="26">
        <f t="shared" si="6"/>
        <v>0</v>
      </c>
      <c r="J22" s="60">
        <f t="shared" si="7"/>
        <v>0</v>
      </c>
      <c r="K22" s="3"/>
      <c r="L22" s="166"/>
      <c r="M22" s="25"/>
      <c r="N22" s="158">
        <v>0</v>
      </c>
      <c r="P22" s="95">
        <f t="shared" si="3"/>
        <v>0</v>
      </c>
      <c r="R22" s="128"/>
      <c r="S22" s="128"/>
      <c r="T22" s="128"/>
      <c r="U22" s="128"/>
    </row>
    <row r="23" spans="1:21" s="4" customFormat="1" ht="15.75" x14ac:dyDescent="0.25">
      <c r="A23" s="24"/>
      <c r="B23" s="223"/>
      <c r="C23" s="25"/>
      <c r="D23" s="26"/>
      <c r="E23" s="27"/>
      <c r="F23" s="26"/>
      <c r="G23" s="27"/>
      <c r="H23" s="50">
        <f t="shared" si="5"/>
        <v>0</v>
      </c>
      <c r="I23" s="26">
        <f t="shared" si="6"/>
        <v>0</v>
      </c>
      <c r="J23" s="60">
        <f t="shared" si="7"/>
        <v>0</v>
      </c>
      <c r="K23" s="3"/>
      <c r="L23" s="166"/>
      <c r="M23" s="25"/>
      <c r="N23" s="158">
        <v>0</v>
      </c>
      <c r="P23" s="95">
        <f t="shared" si="3"/>
        <v>0</v>
      </c>
      <c r="R23" s="128"/>
      <c r="S23" s="128"/>
      <c r="T23" s="128"/>
      <c r="U23" s="128"/>
    </row>
    <row r="24" spans="1:21" s="4" customFormat="1" ht="15.75" x14ac:dyDescent="0.25">
      <c r="A24" s="24"/>
      <c r="B24" s="223"/>
      <c r="C24" s="25"/>
      <c r="D24" s="26"/>
      <c r="E24" s="27"/>
      <c r="F24" s="26"/>
      <c r="G24" s="27"/>
      <c r="H24" s="50">
        <f t="shared" si="1"/>
        <v>0</v>
      </c>
      <c r="I24" s="26">
        <f t="shared" si="4"/>
        <v>0</v>
      </c>
      <c r="J24" s="60">
        <f t="shared" si="2"/>
        <v>0</v>
      </c>
      <c r="K24" s="3"/>
      <c r="L24" s="166"/>
      <c r="M24" s="25"/>
      <c r="N24" s="158">
        <f t="shared" ref="N24:N29" si="8">J24-M24</f>
        <v>0</v>
      </c>
      <c r="P24" s="95">
        <f t="shared" si="3"/>
        <v>0</v>
      </c>
      <c r="R24" s="128"/>
      <c r="S24" s="128"/>
      <c r="T24" s="128"/>
      <c r="U24" s="128"/>
    </row>
    <row r="25" spans="1:21" s="4" customFormat="1" ht="15.75" x14ac:dyDescent="0.25">
      <c r="A25" s="24"/>
      <c r="B25" s="223"/>
      <c r="C25" s="25"/>
      <c r="D25" s="26"/>
      <c r="E25" s="27"/>
      <c r="F25" s="26"/>
      <c r="G25" s="27"/>
      <c r="H25" s="50">
        <f t="shared" si="1"/>
        <v>0</v>
      </c>
      <c r="I25" s="26">
        <f t="shared" si="4"/>
        <v>0</v>
      </c>
      <c r="J25" s="60">
        <f t="shared" si="2"/>
        <v>0</v>
      </c>
      <c r="K25" s="3"/>
      <c r="L25" s="166"/>
      <c r="M25" s="210">
        <v>0</v>
      </c>
      <c r="N25" s="158">
        <f t="shared" si="8"/>
        <v>0</v>
      </c>
      <c r="P25" s="95">
        <f t="shared" si="3"/>
        <v>0</v>
      </c>
      <c r="R25" s="128"/>
      <c r="S25" s="128"/>
      <c r="T25" s="128"/>
      <c r="U25" s="128"/>
    </row>
    <row r="26" spans="1:21" s="4" customFormat="1" ht="15.75" x14ac:dyDescent="0.25">
      <c r="A26" s="24"/>
      <c r="B26" s="223"/>
      <c r="C26" s="25"/>
      <c r="D26" s="26"/>
      <c r="E26" s="27"/>
      <c r="F26" s="26"/>
      <c r="G26" s="27"/>
      <c r="H26" s="50">
        <f t="shared" si="1"/>
        <v>0</v>
      </c>
      <c r="I26" s="26">
        <f t="shared" si="4"/>
        <v>0</v>
      </c>
      <c r="J26" s="60">
        <f t="shared" si="2"/>
        <v>0</v>
      </c>
      <c r="K26" s="3"/>
      <c r="L26" s="166"/>
      <c r="M26" s="210">
        <v>0</v>
      </c>
      <c r="N26" s="158">
        <v>0</v>
      </c>
      <c r="P26" s="95">
        <f t="shared" si="3"/>
        <v>0</v>
      </c>
      <c r="R26" s="128"/>
      <c r="S26" s="128"/>
      <c r="T26" s="128"/>
      <c r="U26" s="128"/>
    </row>
    <row r="27" spans="1:21" s="4" customFormat="1" ht="15.75" x14ac:dyDescent="0.25">
      <c r="A27" s="24"/>
      <c r="B27" s="223"/>
      <c r="C27" s="25"/>
      <c r="D27" s="26"/>
      <c r="E27" s="27"/>
      <c r="F27" s="26"/>
      <c r="G27" s="27"/>
      <c r="H27" s="50">
        <f t="shared" si="1"/>
        <v>0</v>
      </c>
      <c r="I27" s="26">
        <f t="shared" si="4"/>
        <v>0</v>
      </c>
      <c r="J27" s="60">
        <f t="shared" si="2"/>
        <v>0</v>
      </c>
      <c r="K27" s="3"/>
      <c r="L27" s="166"/>
      <c r="M27" s="25"/>
      <c r="N27" s="158">
        <v>0</v>
      </c>
      <c r="P27" s="95">
        <f t="shared" si="3"/>
        <v>0</v>
      </c>
      <c r="R27" s="128"/>
      <c r="S27" s="128"/>
      <c r="T27" s="128"/>
      <c r="U27" s="128"/>
    </row>
    <row r="28" spans="1:21" s="4" customFormat="1" ht="15.75" x14ac:dyDescent="0.25">
      <c r="A28" s="24"/>
      <c r="B28" s="223"/>
      <c r="C28" s="25"/>
      <c r="D28" s="26"/>
      <c r="E28" s="27"/>
      <c r="F28" s="26"/>
      <c r="G28" s="27"/>
      <c r="H28" s="50">
        <f t="shared" si="1"/>
        <v>0</v>
      </c>
      <c r="I28" s="26">
        <f t="shared" si="4"/>
        <v>0</v>
      </c>
      <c r="J28" s="60">
        <f>H28+I28</f>
        <v>0</v>
      </c>
      <c r="K28" s="3"/>
      <c r="L28" s="166"/>
      <c r="M28" s="25"/>
      <c r="N28" s="158">
        <f t="shared" si="8"/>
        <v>0</v>
      </c>
      <c r="P28" s="95">
        <f t="shared" si="3"/>
        <v>0</v>
      </c>
      <c r="R28" s="128"/>
      <c r="S28" s="128"/>
      <c r="T28" s="128"/>
      <c r="U28" s="128"/>
    </row>
    <row r="29" spans="1:21" s="4" customFormat="1" ht="15.75" x14ac:dyDescent="0.25">
      <c r="A29" s="24"/>
      <c r="B29" s="24"/>
      <c r="C29" s="25"/>
      <c r="D29" s="26"/>
      <c r="E29" s="27"/>
      <c r="F29" s="26"/>
      <c r="G29" s="27"/>
      <c r="H29" s="50">
        <f t="shared" si="1"/>
        <v>0</v>
      </c>
      <c r="I29" s="26">
        <f t="shared" si="4"/>
        <v>0</v>
      </c>
      <c r="J29" s="60">
        <f t="shared" si="2"/>
        <v>0</v>
      </c>
      <c r="K29" s="3"/>
      <c r="L29" s="166"/>
      <c r="M29" s="158">
        <f>D29*0.02</f>
        <v>0</v>
      </c>
      <c r="N29" s="158">
        <f t="shared" si="8"/>
        <v>0</v>
      </c>
      <c r="P29" s="95">
        <f t="shared" si="3"/>
        <v>0</v>
      </c>
      <c r="R29" s="25"/>
      <c r="S29" s="25"/>
      <c r="T29" s="166"/>
      <c r="U29" s="158"/>
    </row>
    <row r="30" spans="1:21" ht="21.75" customHeight="1" x14ac:dyDescent="0.25">
      <c r="A30" s="45"/>
      <c r="B30" s="45"/>
      <c r="C30" s="36" t="s">
        <v>0</v>
      </c>
      <c r="D30" s="44">
        <f t="shared" ref="D30:J30" si="9">SUM(D7:D29)</f>
        <v>71830000</v>
      </c>
      <c r="E30" s="44">
        <f t="shared" si="9"/>
        <v>0</v>
      </c>
      <c r="F30" s="44">
        <f t="shared" si="9"/>
        <v>157800000</v>
      </c>
      <c r="G30" s="58">
        <f t="shared" si="9"/>
        <v>0</v>
      </c>
      <c r="H30" s="44">
        <f t="shared" si="9"/>
        <v>229630000</v>
      </c>
      <c r="I30" s="44">
        <f t="shared" si="9"/>
        <v>23562000</v>
      </c>
      <c r="J30" s="44">
        <f t="shared" si="9"/>
        <v>253192000</v>
      </c>
      <c r="L30" s="44"/>
      <c r="M30" s="44">
        <f>SUM(M7:M29)</f>
        <v>0</v>
      </c>
      <c r="N30" s="44">
        <f>SUM(N7:N29)</f>
        <v>137539000</v>
      </c>
      <c r="P30" s="44">
        <f>SUM(P7:P29)</f>
        <v>115653000</v>
      </c>
      <c r="R30" s="44"/>
      <c r="S30" s="44"/>
      <c r="T30" s="44"/>
      <c r="U30" s="44">
        <f>SUM(U7:U29)</f>
        <v>0</v>
      </c>
    </row>
    <row r="31" spans="1:21" x14ac:dyDescent="0.25">
      <c r="H31" s="18"/>
      <c r="U31" s="16">
        <f>M30-U30</f>
        <v>0</v>
      </c>
    </row>
    <row r="32" spans="1:21" x14ac:dyDescent="0.25">
      <c r="H32" s="17"/>
    </row>
    <row r="34" spans="5:5" x14ac:dyDescent="0.25">
      <c r="E34" s="243"/>
    </row>
    <row r="35" spans="5:5" x14ac:dyDescent="0.25">
      <c r="E35" s="18"/>
    </row>
  </sheetData>
  <autoFilter ref="C1:C32" xr:uid="{00000000-0009-0000-0000-000003000000}"/>
  <mergeCells count="8">
    <mergeCell ref="M5:M6"/>
    <mergeCell ref="N5:N6"/>
    <mergeCell ref="P5:P6"/>
    <mergeCell ref="A5:A6"/>
    <mergeCell ref="B5:B6"/>
    <mergeCell ref="C5:C6"/>
    <mergeCell ref="D5:J5"/>
    <mergeCell ref="L5:L6"/>
  </mergeCells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8"/>
  <sheetViews>
    <sheetView workbookViewId="0">
      <pane ySplit="5" topLeftCell="A6" activePane="bottomLeft" state="frozen"/>
      <selection pane="bottomLeft" activeCell="L27" sqref="L27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3.7109375" customWidth="1"/>
    <col min="4" max="4" width="15.42578125" customWidth="1"/>
    <col min="5" max="5" width="14.28515625" customWidth="1"/>
    <col min="6" max="6" width="15.28515625" customWidth="1"/>
    <col min="7" max="7" width="14.1406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4.5703125" customWidth="1"/>
    <col min="12" max="12" width="13.28515625" customWidth="1"/>
    <col min="13" max="13" width="11.28515625" customWidth="1"/>
    <col min="15" max="15" width="13.5703125" customWidth="1"/>
    <col min="16" max="16" width="5.5703125" customWidth="1"/>
    <col min="17" max="17" width="13.42578125" customWidth="1"/>
    <col min="18" max="18" width="15.28515625" bestFit="1" customWidth="1"/>
    <col min="19" max="19" width="32.85546875" bestFit="1" customWidth="1"/>
    <col min="20" max="20" width="22.5703125" bestFit="1" customWidth="1"/>
    <col min="22" max="22" width="10.5703125" bestFit="1" customWidth="1"/>
  </cols>
  <sheetData>
    <row r="1" spans="1:22" ht="19.5" x14ac:dyDescent="0.25">
      <c r="A1" s="2" t="s">
        <v>139</v>
      </c>
      <c r="B1" s="2"/>
      <c r="C1" s="4"/>
      <c r="D1" s="13"/>
      <c r="E1" s="6"/>
      <c r="F1" s="11"/>
      <c r="G1" s="10"/>
    </row>
    <row r="2" spans="1:22" x14ac:dyDescent="0.25">
      <c r="A2" s="4"/>
      <c r="B2" s="4"/>
      <c r="C2" s="4"/>
      <c r="D2" s="13"/>
      <c r="E2" s="6"/>
      <c r="F2" s="4"/>
      <c r="G2" s="10"/>
    </row>
    <row r="3" spans="1:22" x14ac:dyDescent="0.25">
      <c r="A3" s="12" t="s">
        <v>3</v>
      </c>
      <c r="B3" s="4"/>
      <c r="C3" s="4"/>
      <c r="D3" s="13"/>
      <c r="E3" s="6"/>
      <c r="F3" s="4"/>
      <c r="G3" s="10"/>
    </row>
    <row r="4" spans="1:22" ht="22.5" customHeight="1" x14ac:dyDescent="0.25">
      <c r="A4" s="288" t="s">
        <v>2</v>
      </c>
      <c r="B4" s="290" t="s">
        <v>4</v>
      </c>
      <c r="C4" s="288" t="s">
        <v>32</v>
      </c>
      <c r="D4" s="282" t="s">
        <v>1</v>
      </c>
      <c r="E4" s="282"/>
      <c r="F4" s="282"/>
      <c r="G4" s="282"/>
      <c r="H4" s="282"/>
      <c r="I4" s="282"/>
      <c r="J4" s="282"/>
      <c r="L4" s="286" t="s">
        <v>25</v>
      </c>
      <c r="M4" s="286" t="s">
        <v>28</v>
      </c>
      <c r="N4" s="286" t="s">
        <v>29</v>
      </c>
      <c r="O4" s="286" t="s">
        <v>26</v>
      </c>
      <c r="Q4" s="286" t="s">
        <v>31</v>
      </c>
    </row>
    <row r="5" spans="1:22" ht="15.75" x14ac:dyDescent="0.25">
      <c r="A5" s="289"/>
      <c r="B5" s="291"/>
      <c r="C5" s="289"/>
      <c r="D5" s="38" t="s">
        <v>6</v>
      </c>
      <c r="E5" s="38" t="s">
        <v>5</v>
      </c>
      <c r="F5" s="39" t="s">
        <v>7</v>
      </c>
      <c r="G5" s="39" t="s">
        <v>8</v>
      </c>
      <c r="H5" s="39" t="s">
        <v>0</v>
      </c>
      <c r="I5" s="40" t="s">
        <v>3</v>
      </c>
      <c r="J5" s="40" t="s">
        <v>9</v>
      </c>
      <c r="L5" s="287"/>
      <c r="M5" s="287"/>
      <c r="N5" s="287"/>
      <c r="O5" s="287"/>
      <c r="Q5" s="286"/>
    </row>
    <row r="6" spans="1:22" s="4" customFormat="1" ht="15.75" x14ac:dyDescent="0.25">
      <c r="A6" s="24">
        <v>45755</v>
      </c>
      <c r="B6" s="223" t="s">
        <v>140</v>
      </c>
      <c r="C6" s="25" t="s">
        <v>37</v>
      </c>
      <c r="D6" s="26"/>
      <c r="E6" s="27"/>
      <c r="F6" s="26">
        <f>14000*25000</f>
        <v>350000000</v>
      </c>
      <c r="G6" s="27"/>
      <c r="H6" s="50">
        <f t="shared" ref="H6:H27" si="0">SUM(D6:G6)</f>
        <v>350000000</v>
      </c>
      <c r="I6" s="26">
        <f t="shared" ref="I6:I11" si="1">H6*0.11</f>
        <v>38500000</v>
      </c>
      <c r="J6" s="60">
        <f t="shared" ref="J6:J27" si="2">H6+I6</f>
        <v>388500000</v>
      </c>
      <c r="K6" s="3"/>
      <c r="L6" s="145"/>
      <c r="M6" s="95">
        <v>0</v>
      </c>
      <c r="N6" s="25"/>
      <c r="O6" s="179">
        <v>0</v>
      </c>
      <c r="Q6" s="95">
        <f t="shared" ref="Q6:Q27" si="3">J6-M6-N6-O6</f>
        <v>388500000</v>
      </c>
      <c r="S6" s="187"/>
      <c r="T6" s="187"/>
      <c r="U6" s="187"/>
      <c r="V6" s="188"/>
    </row>
    <row r="7" spans="1:22" s="4" customFormat="1" ht="15.75" x14ac:dyDescent="0.25">
      <c r="A7" s="24">
        <v>45755</v>
      </c>
      <c r="B7" s="223" t="s">
        <v>141</v>
      </c>
      <c r="C7" s="25" t="s">
        <v>37</v>
      </c>
      <c r="D7" s="26"/>
      <c r="E7" s="27"/>
      <c r="F7" s="26">
        <f>16500*450</f>
        <v>7425000</v>
      </c>
      <c r="G7" s="27"/>
      <c r="H7" s="50">
        <f t="shared" si="0"/>
        <v>7425000</v>
      </c>
      <c r="I7" s="26">
        <f t="shared" si="1"/>
        <v>816750</v>
      </c>
      <c r="J7" s="60">
        <f t="shared" si="2"/>
        <v>8241750</v>
      </c>
      <c r="K7" s="3"/>
      <c r="L7" s="145"/>
      <c r="M7" s="158"/>
      <c r="N7" s="158"/>
      <c r="O7" s="179">
        <v>0</v>
      </c>
      <c r="Q7" s="95">
        <f t="shared" si="3"/>
        <v>8241750</v>
      </c>
      <c r="R7" s="6"/>
      <c r="S7" s="128"/>
      <c r="T7" s="128"/>
      <c r="U7" s="128"/>
      <c r="V7" s="25"/>
    </row>
    <row r="8" spans="1:22" s="4" customFormat="1" ht="15.75" x14ac:dyDescent="0.2">
      <c r="A8" s="24">
        <v>45756</v>
      </c>
      <c r="B8" s="223" t="s">
        <v>142</v>
      </c>
      <c r="C8" s="25" t="s">
        <v>60</v>
      </c>
      <c r="D8" s="26"/>
      <c r="E8" s="27"/>
      <c r="F8" s="26">
        <f>6510*15000</f>
        <v>97650000</v>
      </c>
      <c r="G8" s="27"/>
      <c r="H8" s="50">
        <f t="shared" ref="H8:H11" si="4">SUM(D8:G8)</f>
        <v>97650000</v>
      </c>
      <c r="I8" s="27">
        <f t="shared" si="1"/>
        <v>10741500</v>
      </c>
      <c r="J8" s="60">
        <f t="shared" si="2"/>
        <v>108391500</v>
      </c>
      <c r="K8" s="3"/>
      <c r="L8" s="259"/>
      <c r="M8" s="158"/>
      <c r="N8" s="179"/>
      <c r="O8" s="179">
        <v>0</v>
      </c>
      <c r="Q8" s="95">
        <f t="shared" si="3"/>
        <v>108391500</v>
      </c>
      <c r="S8" s="25"/>
      <c r="T8" s="185"/>
      <c r="U8" s="145"/>
      <c r="V8" s="81"/>
    </row>
    <row r="9" spans="1:22" s="4" customFormat="1" ht="15.75" x14ac:dyDescent="0.2">
      <c r="A9" s="24">
        <v>45756</v>
      </c>
      <c r="B9" s="223" t="s">
        <v>146</v>
      </c>
      <c r="C9" s="25" t="s">
        <v>37</v>
      </c>
      <c r="D9" s="26"/>
      <c r="E9" s="27"/>
      <c r="F9" s="26">
        <f>1200*25000</f>
        <v>30000000</v>
      </c>
      <c r="G9" s="27"/>
      <c r="H9" s="50">
        <f t="shared" si="4"/>
        <v>30000000</v>
      </c>
      <c r="I9" s="27">
        <f t="shared" si="1"/>
        <v>3300000</v>
      </c>
      <c r="J9" s="60">
        <f t="shared" si="2"/>
        <v>33300000</v>
      </c>
      <c r="K9" s="3"/>
      <c r="L9" s="259"/>
      <c r="M9" s="158"/>
      <c r="N9" s="179">
        <v>0</v>
      </c>
      <c r="O9" s="179">
        <v>0</v>
      </c>
      <c r="Q9" s="95">
        <f t="shared" si="3"/>
        <v>33300000</v>
      </c>
      <c r="R9" s="140"/>
      <c r="S9" s="25"/>
      <c r="T9" s="185"/>
      <c r="U9" s="145"/>
      <c r="V9" s="81"/>
    </row>
    <row r="10" spans="1:22" s="4" customFormat="1" ht="15.75" x14ac:dyDescent="0.2">
      <c r="A10" s="205">
        <v>45756</v>
      </c>
      <c r="B10" s="230" t="s">
        <v>147</v>
      </c>
      <c r="C10" s="206" t="s">
        <v>37</v>
      </c>
      <c r="D10" s="207"/>
      <c r="E10" s="207"/>
      <c r="F10" s="207">
        <f>25000*1000</f>
        <v>25000000</v>
      </c>
      <c r="G10" s="207"/>
      <c r="H10" s="50">
        <f t="shared" si="4"/>
        <v>25000000</v>
      </c>
      <c r="I10" s="27">
        <f t="shared" si="1"/>
        <v>2750000</v>
      </c>
      <c r="J10" s="60">
        <f t="shared" si="2"/>
        <v>27750000</v>
      </c>
      <c r="K10" s="3"/>
      <c r="L10" s="259"/>
      <c r="M10" s="184"/>
      <c r="N10" s="179">
        <v>0</v>
      </c>
      <c r="O10" s="179">
        <v>0</v>
      </c>
      <c r="Q10" s="95">
        <f t="shared" si="3"/>
        <v>27750000</v>
      </c>
      <c r="R10" s="140"/>
      <c r="S10" s="25"/>
      <c r="T10" s="185"/>
      <c r="U10" s="145"/>
      <c r="V10" s="81"/>
    </row>
    <row r="11" spans="1:22" s="4" customFormat="1" ht="15.75" x14ac:dyDescent="0.25">
      <c r="A11" s="24">
        <v>45763</v>
      </c>
      <c r="B11" s="230" t="s">
        <v>149</v>
      </c>
      <c r="C11" s="25" t="s">
        <v>37</v>
      </c>
      <c r="D11" s="27"/>
      <c r="E11" s="27"/>
      <c r="F11" s="27">
        <v>1479000000</v>
      </c>
      <c r="G11" s="27"/>
      <c r="H11" s="50">
        <f t="shared" si="4"/>
        <v>1479000000</v>
      </c>
      <c r="I11" s="27">
        <f t="shared" si="1"/>
        <v>162690000</v>
      </c>
      <c r="J11" s="60">
        <f t="shared" si="2"/>
        <v>1641690000</v>
      </c>
      <c r="K11" s="3"/>
      <c r="L11" s="259"/>
      <c r="M11" s="184"/>
      <c r="N11" s="179"/>
      <c r="O11" s="179">
        <v>0</v>
      </c>
      <c r="Q11" s="95">
        <f t="shared" si="3"/>
        <v>1641690000</v>
      </c>
      <c r="S11" s="128"/>
      <c r="T11" s="128"/>
      <c r="U11" s="128"/>
      <c r="V11" s="25"/>
    </row>
    <row r="12" spans="1:22" s="4" customFormat="1" ht="15.75" x14ac:dyDescent="0.25">
      <c r="A12" s="24">
        <v>45763</v>
      </c>
      <c r="B12" s="223" t="s">
        <v>148</v>
      </c>
      <c r="C12" s="25" t="s">
        <v>37</v>
      </c>
      <c r="D12" s="26"/>
      <c r="E12" s="27"/>
      <c r="F12" s="26">
        <v>21470000</v>
      </c>
      <c r="G12" s="27"/>
      <c r="H12" s="50">
        <f>SUM(D12:G12)</f>
        <v>21470000</v>
      </c>
      <c r="I12" s="26">
        <v>0</v>
      </c>
      <c r="J12" s="60">
        <f t="shared" si="2"/>
        <v>21470000</v>
      </c>
      <c r="K12" s="3"/>
      <c r="L12" s="213"/>
      <c r="M12" s="95"/>
      <c r="N12" s="95"/>
      <c r="O12" s="179">
        <v>0</v>
      </c>
      <c r="Q12" s="95">
        <f>J12-M12-N12-O12</f>
        <v>21470000</v>
      </c>
      <c r="S12" s="128"/>
      <c r="T12" s="128"/>
      <c r="U12" s="128"/>
      <c r="V12" s="25"/>
    </row>
    <row r="13" spans="1:22" s="4" customFormat="1" ht="15.75" x14ac:dyDescent="0.25">
      <c r="A13" s="24">
        <v>45763</v>
      </c>
      <c r="B13" s="223" t="s">
        <v>150</v>
      </c>
      <c r="C13" s="25" t="s">
        <v>151</v>
      </c>
      <c r="D13" s="26"/>
      <c r="E13" s="27"/>
      <c r="F13" s="26">
        <v>246180000</v>
      </c>
      <c r="G13" s="27"/>
      <c r="H13" s="50">
        <f>SUM(D13:G13)</f>
        <v>246180000</v>
      </c>
      <c r="I13" s="27">
        <f>H13*0.11</f>
        <v>27079800</v>
      </c>
      <c r="J13" s="60">
        <f t="shared" ref="J13" si="5">H13+I13</f>
        <v>273259800</v>
      </c>
      <c r="K13" s="3"/>
      <c r="L13" s="213"/>
      <c r="M13" s="95"/>
      <c r="N13" s="95"/>
      <c r="O13" s="179">
        <v>0</v>
      </c>
      <c r="Q13" s="95">
        <f t="shared" ref="Q13:Q26" si="6">J13-M13-N13-O13</f>
        <v>273259800</v>
      </c>
      <c r="S13" s="128"/>
      <c r="T13" s="128"/>
      <c r="U13" s="128"/>
      <c r="V13" s="25"/>
    </row>
    <row r="14" spans="1:22" s="4" customFormat="1" ht="15.75" x14ac:dyDescent="0.25">
      <c r="A14" s="24">
        <v>45763</v>
      </c>
      <c r="B14" s="223" t="s">
        <v>152</v>
      </c>
      <c r="C14" s="25" t="s">
        <v>153</v>
      </c>
      <c r="D14" s="26">
        <v>10500000</v>
      </c>
      <c r="E14" s="27"/>
      <c r="F14" s="26"/>
      <c r="G14" s="27"/>
      <c r="H14" s="50">
        <f t="shared" ref="H14:H23" si="7">SUM(D14:G14)</f>
        <v>10500000</v>
      </c>
      <c r="I14" s="27">
        <f t="shared" ref="I14:I23" si="8">H14*0.11</f>
        <v>1155000</v>
      </c>
      <c r="J14" s="60">
        <f t="shared" ref="J14:J23" si="9">H14+I14</f>
        <v>11655000</v>
      </c>
      <c r="K14" s="3"/>
      <c r="L14" s="213">
        <v>45730</v>
      </c>
      <c r="M14" s="95"/>
      <c r="N14" s="95"/>
      <c r="O14" s="179">
        <f>J14-M14-N14</f>
        <v>11655000</v>
      </c>
      <c r="Q14" s="95">
        <f t="shared" si="6"/>
        <v>0</v>
      </c>
      <c r="S14" s="128"/>
      <c r="T14" s="128"/>
      <c r="U14" s="128"/>
      <c r="V14" s="25"/>
    </row>
    <row r="15" spans="1:22" s="4" customFormat="1" ht="15.75" x14ac:dyDescent="0.25">
      <c r="A15" s="24">
        <v>45763</v>
      </c>
      <c r="B15" s="223" t="s">
        <v>154</v>
      </c>
      <c r="C15" s="25" t="s">
        <v>153</v>
      </c>
      <c r="D15" s="26">
        <v>14500000</v>
      </c>
      <c r="E15" s="27"/>
      <c r="F15" s="26"/>
      <c r="G15" s="27"/>
      <c r="H15" s="50">
        <f t="shared" si="7"/>
        <v>14500000</v>
      </c>
      <c r="I15" s="27">
        <f t="shared" si="8"/>
        <v>1595000</v>
      </c>
      <c r="J15" s="60">
        <f t="shared" si="9"/>
        <v>16095000</v>
      </c>
      <c r="K15" s="3"/>
      <c r="L15" s="213">
        <v>45756</v>
      </c>
      <c r="M15" s="95"/>
      <c r="N15" s="95"/>
      <c r="O15" s="179">
        <f>J15-M15-N15</f>
        <v>16095000</v>
      </c>
      <c r="Q15" s="95">
        <f t="shared" si="6"/>
        <v>0</v>
      </c>
      <c r="S15" s="128"/>
      <c r="T15" s="128"/>
      <c r="U15" s="128"/>
      <c r="V15" s="25"/>
    </row>
    <row r="16" spans="1:22" s="4" customFormat="1" ht="15.75" x14ac:dyDescent="0.25">
      <c r="A16" s="24">
        <v>45768</v>
      </c>
      <c r="B16" s="223" t="s">
        <v>155</v>
      </c>
      <c r="C16" s="25" t="s">
        <v>38</v>
      </c>
      <c r="D16" s="26"/>
      <c r="E16" s="27"/>
      <c r="F16" s="26">
        <v>26250000</v>
      </c>
      <c r="G16" s="27"/>
      <c r="H16" s="50">
        <f t="shared" si="7"/>
        <v>26250000</v>
      </c>
      <c r="I16" s="27">
        <f t="shared" si="8"/>
        <v>2887500</v>
      </c>
      <c r="J16" s="60">
        <f t="shared" si="9"/>
        <v>29137500</v>
      </c>
      <c r="K16" s="3"/>
      <c r="L16" s="213"/>
      <c r="M16" s="95"/>
      <c r="N16" s="95"/>
      <c r="O16" s="179">
        <v>0</v>
      </c>
      <c r="Q16" s="95">
        <f t="shared" si="6"/>
        <v>29137500</v>
      </c>
      <c r="S16" s="128"/>
      <c r="T16" s="128"/>
      <c r="U16" s="128"/>
      <c r="V16" s="25"/>
    </row>
    <row r="17" spans="1:22" s="4" customFormat="1" ht="15.75" x14ac:dyDescent="0.25">
      <c r="A17" s="24">
        <v>45771</v>
      </c>
      <c r="B17" s="223" t="s">
        <v>156</v>
      </c>
      <c r="C17" s="25" t="s">
        <v>117</v>
      </c>
      <c r="D17" s="26"/>
      <c r="E17" s="27"/>
      <c r="F17" s="26">
        <v>1837500</v>
      </c>
      <c r="G17" s="27"/>
      <c r="H17" s="50">
        <f t="shared" si="7"/>
        <v>1837500</v>
      </c>
      <c r="I17" s="27">
        <f t="shared" si="8"/>
        <v>202125</v>
      </c>
      <c r="J17" s="60">
        <f t="shared" si="9"/>
        <v>2039625</v>
      </c>
      <c r="K17" s="3"/>
      <c r="L17" s="213">
        <v>45770</v>
      </c>
      <c r="M17" s="95"/>
      <c r="N17" s="95"/>
      <c r="O17" s="179">
        <f t="shared" ref="O17:O26" si="10">J17-M17-N17</f>
        <v>2039625</v>
      </c>
      <c r="Q17" s="95">
        <f t="shared" si="6"/>
        <v>0</v>
      </c>
      <c r="S17" s="128"/>
      <c r="T17" s="128"/>
      <c r="U17" s="128"/>
      <c r="V17" s="25"/>
    </row>
    <row r="18" spans="1:22" s="4" customFormat="1" ht="15.75" x14ac:dyDescent="0.25">
      <c r="A18" s="24">
        <v>45772</v>
      </c>
      <c r="B18" s="223" t="s">
        <v>157</v>
      </c>
      <c r="C18" s="25" t="s">
        <v>158</v>
      </c>
      <c r="D18" s="26"/>
      <c r="E18" s="27"/>
      <c r="F18" s="26">
        <v>5466440</v>
      </c>
      <c r="G18" s="27"/>
      <c r="H18" s="50">
        <f t="shared" si="7"/>
        <v>5466440</v>
      </c>
      <c r="I18" s="27">
        <f t="shared" si="8"/>
        <v>601308.4</v>
      </c>
      <c r="J18" s="60">
        <f t="shared" si="9"/>
        <v>6067748.4000000004</v>
      </c>
      <c r="K18" s="3"/>
      <c r="L18" s="213">
        <v>45735</v>
      </c>
      <c r="M18" s="95"/>
      <c r="N18" s="95"/>
      <c r="O18" s="179">
        <f t="shared" si="10"/>
        <v>6067748.4000000004</v>
      </c>
      <c r="Q18" s="95">
        <f t="shared" si="6"/>
        <v>0</v>
      </c>
      <c r="S18" s="128"/>
      <c r="T18" s="128"/>
      <c r="U18" s="128"/>
      <c r="V18" s="25"/>
    </row>
    <row r="19" spans="1:22" s="4" customFormat="1" ht="15.75" x14ac:dyDescent="0.25">
      <c r="A19" s="24">
        <v>45777</v>
      </c>
      <c r="B19" s="223" t="s">
        <v>159</v>
      </c>
      <c r="C19" s="25" t="s">
        <v>38</v>
      </c>
      <c r="D19" s="26"/>
      <c r="E19" s="27"/>
      <c r="F19" s="26">
        <v>12600000</v>
      </c>
      <c r="G19" s="27"/>
      <c r="H19" s="50">
        <f t="shared" si="7"/>
        <v>12600000</v>
      </c>
      <c r="I19" s="27">
        <f t="shared" si="8"/>
        <v>1386000</v>
      </c>
      <c r="J19" s="60">
        <f t="shared" si="9"/>
        <v>13986000</v>
      </c>
      <c r="K19" s="3"/>
      <c r="L19" s="213"/>
      <c r="M19" s="95"/>
      <c r="N19" s="95"/>
      <c r="O19" s="179">
        <v>0</v>
      </c>
      <c r="Q19" s="95">
        <f t="shared" si="6"/>
        <v>13986000</v>
      </c>
      <c r="S19" s="128"/>
      <c r="T19" s="128"/>
      <c r="U19" s="128"/>
      <c r="V19" s="25"/>
    </row>
    <row r="20" spans="1:22" s="4" customFormat="1" ht="15.75" x14ac:dyDescent="0.25">
      <c r="A20" s="24">
        <v>45777</v>
      </c>
      <c r="B20" s="223" t="s">
        <v>160</v>
      </c>
      <c r="C20" s="25" t="s">
        <v>135</v>
      </c>
      <c r="D20" s="26"/>
      <c r="E20" s="27"/>
      <c r="F20" s="26">
        <v>3200000</v>
      </c>
      <c r="G20" s="27"/>
      <c r="H20" s="50">
        <f t="shared" si="7"/>
        <v>3200000</v>
      </c>
      <c r="I20" s="27">
        <f t="shared" si="8"/>
        <v>352000</v>
      </c>
      <c r="J20" s="60">
        <f t="shared" si="9"/>
        <v>3552000</v>
      </c>
      <c r="K20" s="3"/>
      <c r="L20" s="213"/>
      <c r="M20" s="95"/>
      <c r="N20" s="95"/>
      <c r="O20" s="179">
        <v>0</v>
      </c>
      <c r="Q20" s="95">
        <f t="shared" si="6"/>
        <v>3552000</v>
      </c>
      <c r="S20" s="128"/>
      <c r="T20" s="128"/>
      <c r="U20" s="128"/>
      <c r="V20" s="25"/>
    </row>
    <row r="21" spans="1:22" s="4" customFormat="1" ht="15.75" x14ac:dyDescent="0.25">
      <c r="A21" s="24">
        <v>45777</v>
      </c>
      <c r="B21" s="223" t="s">
        <v>161</v>
      </c>
      <c r="C21" s="25" t="s">
        <v>37</v>
      </c>
      <c r="D21" s="26"/>
      <c r="E21" s="27"/>
      <c r="F21" s="26">
        <v>13000000</v>
      </c>
      <c r="G21" s="27"/>
      <c r="H21" s="50">
        <f t="shared" si="7"/>
        <v>13000000</v>
      </c>
      <c r="I21" s="27">
        <f t="shared" si="8"/>
        <v>1430000</v>
      </c>
      <c r="J21" s="60">
        <f t="shared" si="9"/>
        <v>14430000</v>
      </c>
      <c r="K21" s="3"/>
      <c r="L21" s="213"/>
      <c r="M21" s="95"/>
      <c r="N21" s="95"/>
      <c r="O21" s="179">
        <v>0</v>
      </c>
      <c r="Q21" s="95">
        <f t="shared" si="6"/>
        <v>14430000</v>
      </c>
      <c r="S21" s="128"/>
      <c r="T21" s="128"/>
      <c r="U21" s="128"/>
      <c r="V21" s="25"/>
    </row>
    <row r="22" spans="1:22" s="4" customFormat="1" ht="15.75" x14ac:dyDescent="0.25">
      <c r="A22" s="24">
        <v>45777</v>
      </c>
      <c r="B22" s="223" t="s">
        <v>162</v>
      </c>
      <c r="C22" s="25" t="s">
        <v>37</v>
      </c>
      <c r="D22" s="26"/>
      <c r="E22" s="27"/>
      <c r="F22" s="26">
        <v>13300000</v>
      </c>
      <c r="G22" s="27"/>
      <c r="H22" s="50">
        <f t="shared" si="7"/>
        <v>13300000</v>
      </c>
      <c r="I22" s="27">
        <f t="shared" si="8"/>
        <v>1463000</v>
      </c>
      <c r="J22" s="60">
        <f t="shared" si="9"/>
        <v>14763000</v>
      </c>
      <c r="K22" s="3"/>
      <c r="L22" s="213"/>
      <c r="M22" s="95"/>
      <c r="N22" s="95"/>
      <c r="O22" s="179">
        <v>0</v>
      </c>
      <c r="Q22" s="95">
        <f t="shared" si="6"/>
        <v>14763000</v>
      </c>
      <c r="S22" s="128"/>
      <c r="T22" s="128"/>
      <c r="U22" s="128"/>
      <c r="V22" s="25"/>
    </row>
    <row r="23" spans="1:22" s="4" customFormat="1" ht="15.75" x14ac:dyDescent="0.25">
      <c r="A23" s="24">
        <v>45771</v>
      </c>
      <c r="B23" s="223" t="s">
        <v>163</v>
      </c>
      <c r="C23" s="25" t="s">
        <v>164</v>
      </c>
      <c r="D23" s="26"/>
      <c r="E23" s="27"/>
      <c r="F23" s="26">
        <v>14000000</v>
      </c>
      <c r="G23" s="27"/>
      <c r="H23" s="50">
        <f t="shared" si="7"/>
        <v>14000000</v>
      </c>
      <c r="I23" s="27">
        <f t="shared" si="8"/>
        <v>1540000</v>
      </c>
      <c r="J23" s="60">
        <f t="shared" si="9"/>
        <v>15540000</v>
      </c>
      <c r="K23" s="3"/>
      <c r="L23" s="213">
        <v>45771</v>
      </c>
      <c r="M23" s="95"/>
      <c r="N23" s="95"/>
      <c r="O23" s="179">
        <f t="shared" si="10"/>
        <v>15540000</v>
      </c>
      <c r="Q23" s="95">
        <f t="shared" si="6"/>
        <v>0</v>
      </c>
      <c r="S23" s="128"/>
      <c r="T23" s="128"/>
      <c r="U23" s="128"/>
      <c r="V23" s="25"/>
    </row>
    <row r="24" spans="1:22" s="4" customFormat="1" ht="15.75" x14ac:dyDescent="0.25">
      <c r="A24" s="24">
        <v>45754</v>
      </c>
      <c r="B24" s="223" t="s">
        <v>165</v>
      </c>
      <c r="C24" s="25" t="s">
        <v>158</v>
      </c>
      <c r="D24" s="26"/>
      <c r="E24" s="27"/>
      <c r="F24" s="26">
        <v>8574800</v>
      </c>
      <c r="G24" s="27"/>
      <c r="H24" s="50">
        <f t="shared" si="0"/>
        <v>8574800</v>
      </c>
      <c r="I24" s="26">
        <f t="shared" ref="I24:I27" si="11">H24*0.11</f>
        <v>943228</v>
      </c>
      <c r="J24" s="60">
        <f t="shared" si="2"/>
        <v>9518028</v>
      </c>
      <c r="K24" s="3"/>
      <c r="L24" s="145">
        <v>45754</v>
      </c>
      <c r="M24" s="158"/>
      <c r="N24" s="158"/>
      <c r="O24" s="158">
        <f t="shared" si="10"/>
        <v>9518028</v>
      </c>
      <c r="Q24" s="95">
        <f t="shared" si="6"/>
        <v>0</v>
      </c>
      <c r="S24" s="128"/>
      <c r="T24" s="128"/>
      <c r="U24" s="128"/>
      <c r="V24" s="25"/>
    </row>
    <row r="25" spans="1:22" s="4" customFormat="1" ht="15.75" x14ac:dyDescent="0.25">
      <c r="A25" s="24">
        <v>45776</v>
      </c>
      <c r="B25" s="223" t="s">
        <v>174</v>
      </c>
      <c r="C25" s="25" t="s">
        <v>56</v>
      </c>
      <c r="D25" s="26"/>
      <c r="E25" s="27"/>
      <c r="F25" s="26">
        <v>17000000</v>
      </c>
      <c r="G25" s="27"/>
      <c r="H25" s="50">
        <f t="shared" si="0"/>
        <v>17000000</v>
      </c>
      <c r="I25" s="26">
        <f t="shared" si="11"/>
        <v>1870000</v>
      </c>
      <c r="J25" s="60">
        <f t="shared" si="2"/>
        <v>18870000</v>
      </c>
      <c r="K25" s="3"/>
      <c r="L25" s="145">
        <v>45776</v>
      </c>
      <c r="M25" s="158"/>
      <c r="N25" s="158"/>
      <c r="O25" s="158">
        <f t="shared" si="10"/>
        <v>18870000</v>
      </c>
      <c r="Q25" s="95">
        <f t="shared" si="6"/>
        <v>0</v>
      </c>
      <c r="S25" s="128"/>
      <c r="T25" s="128"/>
      <c r="U25" s="128"/>
      <c r="V25" s="25"/>
    </row>
    <row r="26" spans="1:22" s="4" customFormat="1" ht="15.75" x14ac:dyDescent="0.25">
      <c r="A26" s="24">
        <v>45776</v>
      </c>
      <c r="B26" s="223" t="s">
        <v>175</v>
      </c>
      <c r="C26" s="25" t="s">
        <v>56</v>
      </c>
      <c r="D26" s="26"/>
      <c r="E26" s="27"/>
      <c r="F26" s="26">
        <v>14000000</v>
      </c>
      <c r="G26" s="27"/>
      <c r="H26" s="50">
        <f t="shared" si="0"/>
        <v>14000000</v>
      </c>
      <c r="I26" s="26">
        <f t="shared" si="11"/>
        <v>1540000</v>
      </c>
      <c r="J26" s="60">
        <f t="shared" si="2"/>
        <v>15540000</v>
      </c>
      <c r="K26" s="3"/>
      <c r="L26" s="145">
        <v>45776</v>
      </c>
      <c r="M26" s="158"/>
      <c r="N26" s="158"/>
      <c r="O26" s="158">
        <f t="shared" si="10"/>
        <v>15540000</v>
      </c>
      <c r="Q26" s="95">
        <f t="shared" si="6"/>
        <v>0</v>
      </c>
      <c r="S26" s="128"/>
      <c r="T26" s="128"/>
      <c r="U26" s="128"/>
      <c r="V26" s="25"/>
    </row>
    <row r="27" spans="1:22" s="4" customFormat="1" ht="15.75" x14ac:dyDescent="0.25">
      <c r="A27" s="63"/>
      <c r="B27" s="24"/>
      <c r="C27" s="25"/>
      <c r="D27" s="26"/>
      <c r="E27" s="27"/>
      <c r="F27" s="26"/>
      <c r="G27" s="27"/>
      <c r="H27" s="50">
        <f t="shared" si="0"/>
        <v>0</v>
      </c>
      <c r="I27" s="26">
        <f t="shared" si="11"/>
        <v>0</v>
      </c>
      <c r="J27" s="60">
        <f t="shared" si="2"/>
        <v>0</v>
      </c>
      <c r="K27" s="3"/>
      <c r="L27" s="145"/>
      <c r="M27" s="158">
        <f>G27*0.02</f>
        <v>0</v>
      </c>
      <c r="N27" s="158"/>
      <c r="O27" s="158">
        <f t="shared" ref="O27" si="12">J27-M27-N27</f>
        <v>0</v>
      </c>
      <c r="Q27" s="95">
        <f t="shared" si="3"/>
        <v>0</v>
      </c>
      <c r="S27" s="25"/>
      <c r="T27" s="25"/>
      <c r="U27" s="145"/>
      <c r="V27" s="81"/>
    </row>
    <row r="28" spans="1:22" ht="21.75" customHeight="1" x14ac:dyDescent="0.25">
      <c r="A28" s="45"/>
      <c r="B28" s="45"/>
      <c r="C28" s="36" t="s">
        <v>0</v>
      </c>
      <c r="D28" s="44">
        <f t="shared" ref="D28:J28" si="13">SUM(D6:D27)</f>
        <v>25000000</v>
      </c>
      <c r="E28" s="44">
        <f t="shared" si="13"/>
        <v>0</v>
      </c>
      <c r="F28" s="44">
        <f t="shared" si="13"/>
        <v>2385953740</v>
      </c>
      <c r="G28" s="44">
        <f t="shared" si="13"/>
        <v>0</v>
      </c>
      <c r="H28" s="44">
        <f t="shared" si="13"/>
        <v>2410953740</v>
      </c>
      <c r="I28" s="44">
        <f t="shared" si="13"/>
        <v>262843211.40000001</v>
      </c>
      <c r="J28" s="44">
        <f t="shared" si="13"/>
        <v>2673796951.4000001</v>
      </c>
      <c r="L28" s="44"/>
      <c r="M28" s="44">
        <f>SUM(M6:M27)</f>
        <v>0</v>
      </c>
      <c r="N28" s="44">
        <f>SUM(N6:N27)</f>
        <v>0</v>
      </c>
      <c r="O28" s="44">
        <f>SUM(O6:O27)</f>
        <v>95325401.400000006</v>
      </c>
      <c r="Q28" s="44">
        <f>SUM(Q6:Q27)</f>
        <v>2578471550</v>
      </c>
      <c r="S28" s="44"/>
      <c r="T28" s="44"/>
      <c r="U28" s="44"/>
      <c r="V28" s="44">
        <f>SUM(V6:V27)</f>
        <v>0</v>
      </c>
    </row>
    <row r="29" spans="1:22" x14ac:dyDescent="0.25">
      <c r="H29" s="18"/>
      <c r="J29" s="16"/>
      <c r="V29" s="16">
        <f>M28-V28</f>
        <v>0</v>
      </c>
    </row>
    <row r="30" spans="1:22" x14ac:dyDescent="0.25">
      <c r="H30" s="17"/>
    </row>
    <row r="31" spans="1:22" x14ac:dyDescent="0.25">
      <c r="O31" s="16"/>
    </row>
    <row r="32" spans="1:22" x14ac:dyDescent="0.25">
      <c r="O32" s="16"/>
    </row>
    <row r="33" spans="8:15" x14ac:dyDescent="0.25">
      <c r="H33">
        <f>22700/500</f>
        <v>45.4</v>
      </c>
    </row>
    <row r="34" spans="8:15" x14ac:dyDescent="0.25">
      <c r="H34">
        <f>46/12</f>
        <v>3.8333333333333335</v>
      </c>
      <c r="L34" s="18"/>
      <c r="O34" s="16"/>
    </row>
    <row r="35" spans="8:15" x14ac:dyDescent="0.25">
      <c r="H35" s="136">
        <f>15000000*5</f>
        <v>75000000</v>
      </c>
      <c r="L35" s="138"/>
    </row>
    <row r="36" spans="8:15" x14ac:dyDescent="0.25">
      <c r="H36" s="253">
        <f>H35/22700</f>
        <v>3303.964757709251</v>
      </c>
      <c r="L36" s="138"/>
    </row>
    <row r="37" spans="8:15" x14ac:dyDescent="0.25">
      <c r="L37" s="18"/>
    </row>
    <row r="38" spans="8:15" x14ac:dyDescent="0.25">
      <c r="L38" s="138"/>
    </row>
  </sheetData>
  <autoFilter ref="C1:C34" xr:uid="{00000000-0009-0000-0000-000004000000}"/>
  <mergeCells count="9">
    <mergeCell ref="M4:M5"/>
    <mergeCell ref="N4:N5"/>
    <mergeCell ref="O4:O5"/>
    <mergeCell ref="Q4:Q5"/>
    <mergeCell ref="A4:A5"/>
    <mergeCell ref="B4:B5"/>
    <mergeCell ref="C4:C5"/>
    <mergeCell ref="D4:J4"/>
    <mergeCell ref="L4:L5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4"/>
  <sheetViews>
    <sheetView workbookViewId="0">
      <pane ySplit="5" topLeftCell="A6" activePane="bottomLeft" state="frozen"/>
      <selection pane="bottomLeft" activeCell="O8" sqref="O8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3.7109375" customWidth="1"/>
    <col min="4" max="4" width="15.42578125" customWidth="1"/>
    <col min="5" max="5" width="14.28515625" customWidth="1"/>
    <col min="6" max="6" width="15.28515625" customWidth="1"/>
    <col min="7" max="7" width="14.1406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5" customWidth="1"/>
    <col min="12" max="12" width="13.5703125" customWidth="1"/>
    <col min="13" max="13" width="12.28515625" customWidth="1"/>
    <col min="14" max="14" width="11.140625" customWidth="1"/>
    <col min="15" max="15" width="13" customWidth="1"/>
    <col min="16" max="16" width="3.42578125" customWidth="1"/>
    <col min="17" max="17" width="13.7109375" bestFit="1" customWidth="1"/>
    <col min="18" max="18" width="15.28515625" bestFit="1" customWidth="1"/>
    <col min="19" max="19" width="32.85546875" bestFit="1" customWidth="1"/>
    <col min="20" max="20" width="22.7109375" bestFit="1" customWidth="1"/>
    <col min="21" max="21" width="9.42578125" bestFit="1" customWidth="1"/>
    <col min="22" max="22" width="11.5703125" bestFit="1" customWidth="1"/>
  </cols>
  <sheetData>
    <row r="1" spans="1:22" ht="19.5" x14ac:dyDescent="0.25">
      <c r="A1" s="2" t="s">
        <v>166</v>
      </c>
      <c r="B1" s="2"/>
      <c r="C1" s="4"/>
      <c r="D1" s="13"/>
      <c r="E1" s="6"/>
      <c r="F1" s="11"/>
      <c r="G1" s="10"/>
    </row>
    <row r="2" spans="1:22" x14ac:dyDescent="0.25">
      <c r="A2" s="4"/>
      <c r="B2" s="4"/>
      <c r="C2" s="4"/>
      <c r="D2" s="13"/>
      <c r="E2" s="6"/>
      <c r="F2" s="4"/>
      <c r="G2" s="10"/>
      <c r="J2" s="16">
        <f>J10+J11+J12+J13</f>
        <v>61813125</v>
      </c>
    </row>
    <row r="3" spans="1:22" x14ac:dyDescent="0.25">
      <c r="A3" s="12" t="s">
        <v>3</v>
      </c>
      <c r="B3" s="4"/>
      <c r="C3" s="4"/>
      <c r="D3" s="13"/>
      <c r="E3" s="6"/>
      <c r="F3" s="4"/>
      <c r="G3" s="10"/>
    </row>
    <row r="4" spans="1:22" ht="22.5" customHeight="1" x14ac:dyDescent="0.25">
      <c r="A4" s="288" t="s">
        <v>2</v>
      </c>
      <c r="B4" s="290" t="s">
        <v>4</v>
      </c>
      <c r="C4" s="288" t="s">
        <v>32</v>
      </c>
      <c r="D4" s="282" t="s">
        <v>1</v>
      </c>
      <c r="E4" s="282"/>
      <c r="F4" s="282"/>
      <c r="G4" s="282"/>
      <c r="H4" s="282"/>
      <c r="I4" s="282"/>
      <c r="J4" s="282"/>
      <c r="L4" s="286" t="s">
        <v>25</v>
      </c>
      <c r="M4" s="286" t="s">
        <v>28</v>
      </c>
      <c r="N4" s="286" t="s">
        <v>29</v>
      </c>
      <c r="O4" s="286" t="s">
        <v>26</v>
      </c>
      <c r="Q4" s="286" t="s">
        <v>31</v>
      </c>
    </row>
    <row r="5" spans="1:22" ht="15.75" x14ac:dyDescent="0.25">
      <c r="A5" s="289"/>
      <c r="B5" s="291"/>
      <c r="C5" s="289"/>
      <c r="D5" s="38" t="s">
        <v>6</v>
      </c>
      <c r="E5" s="38" t="s">
        <v>5</v>
      </c>
      <c r="F5" s="39" t="s">
        <v>7</v>
      </c>
      <c r="G5" s="39" t="s">
        <v>8</v>
      </c>
      <c r="H5" s="39" t="s">
        <v>0</v>
      </c>
      <c r="I5" s="40" t="s">
        <v>3</v>
      </c>
      <c r="J5" s="40" t="s">
        <v>9</v>
      </c>
      <c r="L5" s="287"/>
      <c r="M5" s="287"/>
      <c r="N5" s="287"/>
      <c r="O5" s="287"/>
      <c r="Q5" s="286"/>
    </row>
    <row r="6" spans="1:22" s="4" customFormat="1" ht="15.75" x14ac:dyDescent="0.25">
      <c r="A6" s="20">
        <v>45799</v>
      </c>
      <c r="B6" s="224" t="s">
        <v>176</v>
      </c>
      <c r="C6" s="21" t="s">
        <v>37</v>
      </c>
      <c r="D6" s="22"/>
      <c r="E6" s="23"/>
      <c r="F6" s="22">
        <v>12483000</v>
      </c>
      <c r="G6" s="23"/>
      <c r="H6" s="64">
        <f>SUM(D6:G6)</f>
        <v>12483000</v>
      </c>
      <c r="I6" s="22">
        <f>H6*0.11</f>
        <v>1373130</v>
      </c>
      <c r="J6" s="22">
        <f t="shared" ref="J6:J7" si="0">H6+I6</f>
        <v>13856130</v>
      </c>
      <c r="K6" s="3"/>
      <c r="L6" s="214">
        <v>45824</v>
      </c>
      <c r="M6" s="126"/>
      <c r="N6" s="126"/>
      <c r="O6" s="215">
        <f>J6-M6-N6</f>
        <v>13856130</v>
      </c>
      <c r="Q6" s="92">
        <f t="shared" ref="Q6:Q18" si="1">J6-M6-N6-O6</f>
        <v>0</v>
      </c>
      <c r="S6" s="126"/>
      <c r="T6" s="126"/>
      <c r="U6" s="126"/>
      <c r="V6" s="126"/>
    </row>
    <row r="7" spans="1:22" s="4" customFormat="1" ht="15.75" x14ac:dyDescent="0.25">
      <c r="A7" s="24">
        <v>45799</v>
      </c>
      <c r="B7" s="223" t="s">
        <v>177</v>
      </c>
      <c r="C7" s="25" t="s">
        <v>37</v>
      </c>
      <c r="D7" s="26"/>
      <c r="E7" s="27"/>
      <c r="F7" s="26">
        <v>16000000</v>
      </c>
      <c r="G7" s="27"/>
      <c r="H7" s="65">
        <f t="shared" ref="H7" si="2">SUM(D7:G7)</f>
        <v>16000000</v>
      </c>
      <c r="I7" s="26">
        <f>H7*0.11</f>
        <v>1760000</v>
      </c>
      <c r="J7" s="26">
        <f t="shared" si="0"/>
        <v>17760000</v>
      </c>
      <c r="K7" s="3"/>
      <c r="L7" s="145">
        <v>45824</v>
      </c>
      <c r="M7" s="216">
        <f>D7*0.02</f>
        <v>0</v>
      </c>
      <c r="N7" s="165"/>
      <c r="O7" s="147">
        <f>J7-M7-N7</f>
        <v>17760000</v>
      </c>
      <c r="Q7" s="95">
        <f t="shared" si="1"/>
        <v>0</v>
      </c>
      <c r="S7" s="128"/>
      <c r="T7" s="128"/>
      <c r="U7" s="128"/>
      <c r="V7" s="128"/>
    </row>
    <row r="8" spans="1:22" s="4" customFormat="1" ht="15.75" x14ac:dyDescent="0.25">
      <c r="A8" s="24">
        <v>45779</v>
      </c>
      <c r="B8" s="223" t="s">
        <v>178</v>
      </c>
      <c r="C8" s="25" t="s">
        <v>58</v>
      </c>
      <c r="D8" s="26"/>
      <c r="E8" s="27"/>
      <c r="F8" s="26">
        <v>58500000</v>
      </c>
      <c r="G8" s="27"/>
      <c r="H8" s="65">
        <f t="shared" ref="H8:H17" si="3">SUM(D8:G8)</f>
        <v>58500000</v>
      </c>
      <c r="I8" s="26">
        <f t="shared" ref="I8:I16" si="4">H8*0.11</f>
        <v>6435000</v>
      </c>
      <c r="J8" s="26">
        <f t="shared" ref="J8:J17" si="5">H8+I8</f>
        <v>64935000</v>
      </c>
      <c r="K8" s="3"/>
      <c r="L8" s="145">
        <v>45779</v>
      </c>
      <c r="M8" s="216"/>
      <c r="N8" s="165"/>
      <c r="O8" s="147">
        <f t="shared" ref="O8:O12" si="6">J8-M8-N8</f>
        <v>64935000</v>
      </c>
      <c r="Q8" s="95">
        <f t="shared" si="1"/>
        <v>0</v>
      </c>
      <c r="S8" s="128"/>
      <c r="T8" s="128"/>
      <c r="U8" s="128"/>
      <c r="V8" s="128"/>
    </row>
    <row r="9" spans="1:22" s="4" customFormat="1" ht="15.75" x14ac:dyDescent="0.25">
      <c r="A9" s="24">
        <v>45790</v>
      </c>
      <c r="B9" s="223" t="s">
        <v>179</v>
      </c>
      <c r="C9" s="25" t="s">
        <v>58</v>
      </c>
      <c r="D9" s="26"/>
      <c r="E9" s="27"/>
      <c r="F9" s="26">
        <v>71250000</v>
      </c>
      <c r="G9" s="27"/>
      <c r="H9" s="65">
        <f t="shared" si="3"/>
        <v>71250000</v>
      </c>
      <c r="I9" s="26">
        <f t="shared" si="4"/>
        <v>7837500</v>
      </c>
      <c r="J9" s="26">
        <f t="shared" si="5"/>
        <v>79087500</v>
      </c>
      <c r="K9" s="3"/>
      <c r="L9" s="145">
        <v>45790</v>
      </c>
      <c r="M9" s="216"/>
      <c r="N9" s="165"/>
      <c r="O9" s="147">
        <f t="shared" si="6"/>
        <v>79087500</v>
      </c>
      <c r="Q9" s="95">
        <f t="shared" si="1"/>
        <v>0</v>
      </c>
      <c r="S9" s="128"/>
      <c r="T9" s="128"/>
      <c r="U9" s="128"/>
      <c r="V9" s="128"/>
    </row>
    <row r="10" spans="1:22" s="4" customFormat="1" ht="15.75" x14ac:dyDescent="0.25">
      <c r="A10" s="24">
        <v>45796</v>
      </c>
      <c r="B10" s="223" t="s">
        <v>180</v>
      </c>
      <c r="C10" s="25" t="s">
        <v>58</v>
      </c>
      <c r="D10" s="26"/>
      <c r="E10" s="27"/>
      <c r="F10" s="26">
        <v>55687500</v>
      </c>
      <c r="G10" s="27"/>
      <c r="H10" s="65">
        <f t="shared" si="3"/>
        <v>55687500</v>
      </c>
      <c r="I10" s="26">
        <f t="shared" si="4"/>
        <v>6125625</v>
      </c>
      <c r="J10" s="26">
        <f t="shared" si="5"/>
        <v>61813125</v>
      </c>
      <c r="K10" s="3"/>
      <c r="L10" s="145">
        <v>45796</v>
      </c>
      <c r="M10" s="216"/>
      <c r="N10" s="165"/>
      <c r="O10" s="147">
        <f t="shared" si="6"/>
        <v>61813125</v>
      </c>
      <c r="Q10" s="95">
        <f t="shared" si="1"/>
        <v>0</v>
      </c>
      <c r="S10" s="128"/>
      <c r="T10" s="128"/>
      <c r="U10" s="128"/>
      <c r="V10" s="128"/>
    </row>
    <row r="11" spans="1:22" s="4" customFormat="1" ht="15.75" x14ac:dyDescent="0.25">
      <c r="A11" s="24"/>
      <c r="B11" s="223"/>
      <c r="C11" s="25"/>
      <c r="D11" s="26"/>
      <c r="E11" s="27"/>
      <c r="F11" s="26"/>
      <c r="G11" s="27"/>
      <c r="H11" s="65">
        <f t="shared" si="3"/>
        <v>0</v>
      </c>
      <c r="I11" s="26">
        <f t="shared" si="4"/>
        <v>0</v>
      </c>
      <c r="J11" s="26">
        <f t="shared" si="5"/>
        <v>0</v>
      </c>
      <c r="K11" s="3"/>
      <c r="L11" s="145"/>
      <c r="M11" s="216"/>
      <c r="N11" s="165"/>
      <c r="O11" s="147">
        <f t="shared" si="6"/>
        <v>0</v>
      </c>
      <c r="Q11" s="95">
        <f t="shared" si="1"/>
        <v>0</v>
      </c>
      <c r="S11" s="128"/>
      <c r="T11" s="128"/>
      <c r="U11" s="128"/>
      <c r="V11" s="128"/>
    </row>
    <row r="12" spans="1:22" s="4" customFormat="1" ht="15.75" x14ac:dyDescent="0.25">
      <c r="A12" s="24"/>
      <c r="B12" s="223"/>
      <c r="C12" s="25"/>
      <c r="D12" s="26"/>
      <c r="E12" s="27"/>
      <c r="F12" s="26"/>
      <c r="G12" s="27"/>
      <c r="H12" s="65">
        <f t="shared" si="3"/>
        <v>0</v>
      </c>
      <c r="I12" s="26">
        <f t="shared" si="4"/>
        <v>0</v>
      </c>
      <c r="J12" s="26">
        <f t="shared" si="5"/>
        <v>0</v>
      </c>
      <c r="K12" s="3"/>
      <c r="L12" s="145"/>
      <c r="M12" s="216"/>
      <c r="N12" s="165"/>
      <c r="O12" s="147">
        <f t="shared" si="6"/>
        <v>0</v>
      </c>
      <c r="Q12" s="95">
        <f t="shared" si="1"/>
        <v>0</v>
      </c>
      <c r="S12" s="128"/>
      <c r="T12" s="128"/>
      <c r="U12" s="128"/>
      <c r="V12" s="128"/>
    </row>
    <row r="13" spans="1:22" s="4" customFormat="1" ht="15.75" x14ac:dyDescent="0.25">
      <c r="A13" s="24"/>
      <c r="B13" s="223"/>
      <c r="C13" s="25"/>
      <c r="D13" s="26"/>
      <c r="E13" s="27"/>
      <c r="F13" s="26"/>
      <c r="G13" s="27"/>
      <c r="H13" s="65">
        <f t="shared" si="3"/>
        <v>0</v>
      </c>
      <c r="I13" s="26">
        <f t="shared" si="4"/>
        <v>0</v>
      </c>
      <c r="J13" s="26">
        <f t="shared" si="5"/>
        <v>0</v>
      </c>
      <c r="K13" s="3"/>
      <c r="L13" s="145"/>
      <c r="M13" s="216"/>
      <c r="N13" s="165"/>
      <c r="O13" s="147">
        <f t="shared" ref="O13" si="7">J13-M13-N13</f>
        <v>0</v>
      </c>
      <c r="Q13" s="95">
        <f t="shared" si="1"/>
        <v>0</v>
      </c>
      <c r="S13" s="128"/>
      <c r="T13" s="128"/>
      <c r="U13" s="128"/>
      <c r="V13" s="128"/>
    </row>
    <row r="14" spans="1:22" s="4" customFormat="1" ht="15.75" x14ac:dyDescent="0.25">
      <c r="A14" s="24"/>
      <c r="B14" s="223"/>
      <c r="C14" s="25"/>
      <c r="D14" s="26"/>
      <c r="E14" s="27"/>
      <c r="F14" s="26"/>
      <c r="G14" s="27"/>
      <c r="H14" s="65">
        <f t="shared" si="3"/>
        <v>0</v>
      </c>
      <c r="I14" s="26">
        <v>0</v>
      </c>
      <c r="J14" s="26">
        <f t="shared" si="5"/>
        <v>0</v>
      </c>
      <c r="K14" s="3"/>
      <c r="L14" s="145"/>
      <c r="M14" s="216"/>
      <c r="N14" s="165"/>
      <c r="O14" s="147">
        <f>J14-M14-N14</f>
        <v>0</v>
      </c>
      <c r="Q14" s="95">
        <f t="shared" si="1"/>
        <v>0</v>
      </c>
      <c r="S14" s="128"/>
      <c r="T14" s="128"/>
      <c r="U14" s="128"/>
      <c r="V14" s="128"/>
    </row>
    <row r="15" spans="1:22" s="4" customFormat="1" ht="15.75" x14ac:dyDescent="0.25">
      <c r="A15" s="24"/>
      <c r="B15" s="223"/>
      <c r="C15" s="25"/>
      <c r="D15" s="26"/>
      <c r="E15" s="27"/>
      <c r="F15" s="26"/>
      <c r="G15" s="27"/>
      <c r="H15" s="65">
        <f t="shared" si="3"/>
        <v>0</v>
      </c>
      <c r="I15" s="26">
        <f t="shared" si="4"/>
        <v>0</v>
      </c>
      <c r="J15" s="26">
        <f t="shared" si="5"/>
        <v>0</v>
      </c>
      <c r="K15" s="3"/>
      <c r="L15" s="145"/>
      <c r="M15" s="216"/>
      <c r="N15" s="165"/>
      <c r="O15" s="147">
        <f>J15-M15-N15</f>
        <v>0</v>
      </c>
      <c r="Q15" s="95">
        <f t="shared" si="1"/>
        <v>0</v>
      </c>
      <c r="S15" s="128"/>
      <c r="T15" s="128"/>
      <c r="U15" s="128"/>
      <c r="V15" s="128"/>
    </row>
    <row r="16" spans="1:22" s="4" customFormat="1" ht="15.75" x14ac:dyDescent="0.25">
      <c r="A16" s="24"/>
      <c r="B16" s="223"/>
      <c r="C16" s="25"/>
      <c r="D16" s="26"/>
      <c r="E16" s="27"/>
      <c r="F16" s="26"/>
      <c r="G16" s="27"/>
      <c r="H16" s="65">
        <f t="shared" si="3"/>
        <v>0</v>
      </c>
      <c r="I16" s="26">
        <f t="shared" si="4"/>
        <v>0</v>
      </c>
      <c r="J16" s="26">
        <f t="shared" si="5"/>
        <v>0</v>
      </c>
      <c r="K16" s="3"/>
      <c r="L16" s="145"/>
      <c r="M16" s="216"/>
      <c r="N16" s="165"/>
      <c r="O16" s="147">
        <f>J16-M16-N16</f>
        <v>0</v>
      </c>
      <c r="Q16" s="95">
        <f t="shared" si="1"/>
        <v>0</v>
      </c>
      <c r="S16" s="128"/>
      <c r="T16" s="128"/>
      <c r="U16" s="128"/>
      <c r="V16" s="128"/>
    </row>
    <row r="17" spans="1:22" s="4" customFormat="1" ht="15.75" x14ac:dyDescent="0.25">
      <c r="A17" s="24"/>
      <c r="B17" s="223"/>
      <c r="C17" s="25"/>
      <c r="D17" s="26"/>
      <c r="E17" s="27"/>
      <c r="F17" s="26"/>
      <c r="G17" s="27"/>
      <c r="H17" s="65">
        <f t="shared" si="3"/>
        <v>0</v>
      </c>
      <c r="I17" s="26">
        <v>0</v>
      </c>
      <c r="J17" s="26">
        <f t="shared" si="5"/>
        <v>0</v>
      </c>
      <c r="K17" s="3"/>
      <c r="L17" s="145"/>
      <c r="M17" s="216"/>
      <c r="N17" s="165"/>
      <c r="O17" s="147">
        <f>J17-M17-N17</f>
        <v>0</v>
      </c>
      <c r="Q17" s="95">
        <f t="shared" si="1"/>
        <v>0</v>
      </c>
      <c r="S17" s="128"/>
      <c r="T17" s="128"/>
      <c r="U17" s="128"/>
      <c r="V17" s="128"/>
    </row>
    <row r="18" spans="1:22" s="4" customFormat="1" ht="15.75" x14ac:dyDescent="0.25">
      <c r="A18" s="24"/>
      <c r="B18" s="24"/>
      <c r="C18" s="25"/>
      <c r="D18" s="26"/>
      <c r="E18" s="27"/>
      <c r="F18" s="26"/>
      <c r="G18" s="27"/>
      <c r="H18" s="65">
        <f t="shared" ref="H18" si="8">SUM(D18:G18)</f>
        <v>0</v>
      </c>
      <c r="I18" s="26">
        <f t="shared" ref="I18" si="9">H18*0.11</f>
        <v>0</v>
      </c>
      <c r="J18" s="26">
        <f t="shared" ref="J18" si="10">H18+I18</f>
        <v>0</v>
      </c>
      <c r="K18" s="3"/>
      <c r="L18" s="145"/>
      <c r="M18" s="158">
        <f t="shared" ref="M18" si="11">D18*0.02</f>
        <v>0</v>
      </c>
      <c r="N18" s="158"/>
      <c r="O18" s="147">
        <f>J18-M18-N18</f>
        <v>0</v>
      </c>
      <c r="Q18" s="95">
        <f t="shared" si="1"/>
        <v>0</v>
      </c>
      <c r="S18" s="128"/>
      <c r="T18" s="128"/>
      <c r="U18" s="128"/>
      <c r="V18" s="25"/>
    </row>
    <row r="19" spans="1:22" ht="21.75" customHeight="1" x14ac:dyDescent="0.25">
      <c r="A19" s="45"/>
      <c r="B19" s="45"/>
      <c r="C19" s="36" t="s">
        <v>0</v>
      </c>
      <c r="D19" s="44">
        <f t="shared" ref="D19:J19" si="12">SUM(D6:D18)</f>
        <v>0</v>
      </c>
      <c r="E19" s="44">
        <f t="shared" si="12"/>
        <v>0</v>
      </c>
      <c r="F19" s="44">
        <f t="shared" si="12"/>
        <v>213920500</v>
      </c>
      <c r="G19" s="44">
        <f t="shared" si="12"/>
        <v>0</v>
      </c>
      <c r="H19" s="44">
        <f t="shared" si="12"/>
        <v>213920500</v>
      </c>
      <c r="I19" s="44">
        <f t="shared" si="12"/>
        <v>23531255</v>
      </c>
      <c r="J19" s="44">
        <f t="shared" si="12"/>
        <v>237451755</v>
      </c>
      <c r="L19" s="44"/>
      <c r="M19" s="44">
        <f>SUM(M6:M18)</f>
        <v>0</v>
      </c>
      <c r="N19" s="44">
        <f>SUM(N6:N18)</f>
        <v>0</v>
      </c>
      <c r="O19" s="44">
        <f>SUM(O6:O18)</f>
        <v>237451755</v>
      </c>
      <c r="Q19" s="44">
        <f>SUM(Q6:Q18)</f>
        <v>0</v>
      </c>
      <c r="R19" s="138"/>
      <c r="S19" s="44"/>
      <c r="T19" s="44"/>
      <c r="U19" s="44"/>
      <c r="V19" s="44">
        <f>SUM(V6:V18)</f>
        <v>0</v>
      </c>
    </row>
    <row r="20" spans="1:22" x14ac:dyDescent="0.25">
      <c r="H20" s="18"/>
      <c r="O20" s="18"/>
      <c r="Q20" s="218"/>
      <c r="V20" s="16">
        <f>M19-V19</f>
        <v>0</v>
      </c>
    </row>
    <row r="21" spans="1:22" x14ac:dyDescent="0.25">
      <c r="H21" s="17"/>
      <c r="J21" s="16"/>
      <c r="Q21" s="138"/>
    </row>
    <row r="22" spans="1:22" x14ac:dyDescent="0.25">
      <c r="Q22" s="16"/>
    </row>
    <row r="23" spans="1:22" x14ac:dyDescent="0.25">
      <c r="M23" s="138"/>
      <c r="Q23" s="219"/>
    </row>
    <row r="24" spans="1:22" x14ac:dyDescent="0.25">
      <c r="Q24" s="16"/>
    </row>
  </sheetData>
  <autoFilter ref="C1:C21" xr:uid="{00000000-0009-0000-0000-000005000000}"/>
  <mergeCells count="9">
    <mergeCell ref="M4:M5"/>
    <mergeCell ref="N4:N5"/>
    <mergeCell ref="O4:O5"/>
    <mergeCell ref="Q4:Q5"/>
    <mergeCell ref="A4:A5"/>
    <mergeCell ref="B4:B5"/>
    <mergeCell ref="C4:C5"/>
    <mergeCell ref="D4:J4"/>
    <mergeCell ref="L4:L5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2"/>
  <sheetViews>
    <sheetView workbookViewId="0">
      <pane ySplit="5" topLeftCell="A6" activePane="bottomLeft" state="frozen"/>
      <selection pane="bottomLeft" activeCell="L18" sqref="L18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6.5703125" customWidth="1"/>
    <col min="4" max="4" width="15.42578125" customWidth="1"/>
    <col min="5" max="5" width="14.28515625" customWidth="1"/>
    <col min="6" max="6" width="14.42578125" customWidth="1"/>
    <col min="7" max="7" width="14.1406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4.5703125" customWidth="1"/>
    <col min="12" max="12" width="13.42578125" customWidth="1"/>
    <col min="13" max="13" width="13.28515625" customWidth="1"/>
    <col min="14" max="14" width="13.42578125" customWidth="1"/>
    <col min="15" max="15" width="2.7109375" customWidth="1"/>
    <col min="16" max="16" width="14.85546875" customWidth="1"/>
    <col min="17" max="17" width="15.28515625" bestFit="1" customWidth="1"/>
    <col min="18" max="18" width="32.85546875" bestFit="1" customWidth="1"/>
    <col min="19" max="19" width="22.7109375" bestFit="1" customWidth="1"/>
    <col min="21" max="21" width="11" bestFit="1" customWidth="1"/>
  </cols>
  <sheetData>
    <row r="1" spans="1:21" ht="19.5" x14ac:dyDescent="0.25">
      <c r="A1" s="2" t="s">
        <v>167</v>
      </c>
      <c r="B1" s="2"/>
      <c r="C1" s="4"/>
      <c r="D1" s="13"/>
      <c r="E1" s="6"/>
      <c r="F1" s="11"/>
      <c r="G1" s="10"/>
    </row>
    <row r="2" spans="1:21" x14ac:dyDescent="0.25">
      <c r="A2" s="4"/>
      <c r="B2" s="4"/>
      <c r="C2" s="4"/>
      <c r="D2" s="13"/>
      <c r="E2" s="6"/>
      <c r="F2" s="4"/>
      <c r="G2" s="10"/>
    </row>
    <row r="3" spans="1:21" x14ac:dyDescent="0.25">
      <c r="A3" s="12" t="s">
        <v>3</v>
      </c>
      <c r="B3" s="4"/>
      <c r="C3" s="4"/>
      <c r="D3" s="13"/>
      <c r="E3" s="6"/>
      <c r="F3" s="4"/>
      <c r="G3" s="10"/>
    </row>
    <row r="4" spans="1:21" ht="22.5" customHeight="1" x14ac:dyDescent="0.25">
      <c r="A4" s="288" t="s">
        <v>2</v>
      </c>
      <c r="B4" s="290" t="s">
        <v>4</v>
      </c>
      <c r="C4" s="288" t="s">
        <v>32</v>
      </c>
      <c r="D4" s="282" t="s">
        <v>1</v>
      </c>
      <c r="E4" s="282"/>
      <c r="F4" s="282"/>
      <c r="G4" s="282"/>
      <c r="H4" s="282"/>
      <c r="I4" s="282"/>
      <c r="J4" s="282"/>
      <c r="L4" s="286" t="s">
        <v>25</v>
      </c>
      <c r="M4" s="286" t="s">
        <v>28</v>
      </c>
      <c r="N4" s="286" t="s">
        <v>26</v>
      </c>
      <c r="P4" s="286" t="s">
        <v>31</v>
      </c>
    </row>
    <row r="5" spans="1:21" ht="15.75" x14ac:dyDescent="0.25">
      <c r="A5" s="289"/>
      <c r="B5" s="291"/>
      <c r="C5" s="289"/>
      <c r="D5" s="38" t="s">
        <v>6</v>
      </c>
      <c r="E5" s="38" t="s">
        <v>5</v>
      </c>
      <c r="F5" s="39" t="s">
        <v>7</v>
      </c>
      <c r="G5" s="39" t="s">
        <v>8</v>
      </c>
      <c r="H5" s="39" t="s">
        <v>0</v>
      </c>
      <c r="I5" s="40" t="s">
        <v>3</v>
      </c>
      <c r="J5" s="40" t="s">
        <v>9</v>
      </c>
      <c r="L5" s="287"/>
      <c r="M5" s="287"/>
      <c r="N5" s="287"/>
      <c r="P5" s="286"/>
    </row>
    <row r="6" spans="1:21" s="4" customFormat="1" ht="15.75" x14ac:dyDescent="0.25">
      <c r="A6" s="20">
        <v>45813</v>
      </c>
      <c r="B6" s="224" t="s">
        <v>181</v>
      </c>
      <c r="C6" s="21" t="s">
        <v>182</v>
      </c>
      <c r="D6" s="66">
        <v>2500000</v>
      </c>
      <c r="E6" s="67"/>
      <c r="F6" s="66"/>
      <c r="G6" s="68"/>
      <c r="H6" s="69">
        <f t="shared" ref="H6:H20" si="0">SUM(D6:G6)</f>
        <v>2500000</v>
      </c>
      <c r="I6" s="66">
        <f>H6*0.11</f>
        <v>275000</v>
      </c>
      <c r="J6" s="66">
        <f>H6+I6</f>
        <v>2775000</v>
      </c>
      <c r="K6" s="3"/>
      <c r="L6" s="145">
        <v>45813</v>
      </c>
      <c r="M6" s="162"/>
      <c r="N6" s="164">
        <f>J6-M6</f>
        <v>2775000</v>
      </c>
      <c r="P6" s="95">
        <f>J6-M6-N6</f>
        <v>0</v>
      </c>
      <c r="R6" s="21"/>
      <c r="S6" s="21"/>
      <c r="T6" s="21"/>
      <c r="U6" s="21"/>
    </row>
    <row r="7" spans="1:21" s="4" customFormat="1" ht="19.5" customHeight="1" x14ac:dyDescent="0.25">
      <c r="A7" s="24">
        <v>45813</v>
      </c>
      <c r="B7" s="223" t="s">
        <v>183</v>
      </c>
      <c r="C7" s="25" t="s">
        <v>58</v>
      </c>
      <c r="D7" s="70"/>
      <c r="E7" s="71"/>
      <c r="F7" s="70">
        <v>36500000</v>
      </c>
      <c r="G7" s="71"/>
      <c r="H7" s="72">
        <f t="shared" si="0"/>
        <v>36500000</v>
      </c>
      <c r="I7" s="70">
        <f>H7*0.11</f>
        <v>4015000</v>
      </c>
      <c r="J7" s="70">
        <f t="shared" ref="J7:J20" si="1">H7+I7</f>
        <v>40515000</v>
      </c>
      <c r="K7" s="3"/>
      <c r="L7" s="225">
        <v>45813</v>
      </c>
      <c r="M7" s="128"/>
      <c r="N7" s="164">
        <f>J7-M7</f>
        <v>40515000</v>
      </c>
      <c r="P7" s="95">
        <f>J7-M7-N7</f>
        <v>0</v>
      </c>
      <c r="R7" s="25"/>
      <c r="S7" s="25"/>
      <c r="T7" s="25"/>
      <c r="U7" s="25"/>
    </row>
    <row r="8" spans="1:21" s="4" customFormat="1" ht="19.5" customHeight="1" x14ac:dyDescent="0.25">
      <c r="A8" s="24">
        <v>45818</v>
      </c>
      <c r="B8" s="223" t="s">
        <v>184</v>
      </c>
      <c r="C8" s="25" t="s">
        <v>58</v>
      </c>
      <c r="D8" s="70"/>
      <c r="E8" s="71"/>
      <c r="F8" s="70">
        <v>29929150</v>
      </c>
      <c r="G8" s="71"/>
      <c r="H8" s="72">
        <f t="shared" si="0"/>
        <v>29929150</v>
      </c>
      <c r="I8" s="70">
        <f t="shared" ref="I8:I20" si="2">H8*0.11</f>
        <v>3292206.5</v>
      </c>
      <c r="J8" s="70">
        <f t="shared" si="1"/>
        <v>33221356.5</v>
      </c>
      <c r="K8" s="3"/>
      <c r="L8" s="225">
        <v>45818</v>
      </c>
      <c r="M8" s="128"/>
      <c r="N8" s="164">
        <f>J8-M8</f>
        <v>33221356.5</v>
      </c>
      <c r="P8" s="95">
        <f t="shared" ref="P8:P20" si="3">J8-M8-N8</f>
        <v>0</v>
      </c>
      <c r="R8" s="25"/>
      <c r="S8" s="25"/>
      <c r="T8" s="25"/>
      <c r="U8" s="25"/>
    </row>
    <row r="9" spans="1:21" s="4" customFormat="1" ht="19.5" customHeight="1" x14ac:dyDescent="0.25">
      <c r="A9" s="24">
        <v>45818</v>
      </c>
      <c r="B9" s="223" t="s">
        <v>185</v>
      </c>
      <c r="C9" s="25" t="s">
        <v>37</v>
      </c>
      <c r="D9" s="70"/>
      <c r="E9" s="71"/>
      <c r="F9" s="70">
        <v>16000000</v>
      </c>
      <c r="G9" s="71"/>
      <c r="H9" s="72">
        <f t="shared" ref="H9:H17" si="4">SUM(D9:G9)</f>
        <v>16000000</v>
      </c>
      <c r="I9" s="70">
        <f t="shared" ref="I9:I17" si="5">H9*0.11</f>
        <v>1760000</v>
      </c>
      <c r="J9" s="70">
        <f t="shared" ref="J9:J17" si="6">H9+I9</f>
        <v>17760000</v>
      </c>
      <c r="K9" s="3"/>
      <c r="L9" s="225">
        <v>45849</v>
      </c>
      <c r="M9" s="128"/>
      <c r="N9" s="164">
        <f>J9-M9</f>
        <v>17760000</v>
      </c>
      <c r="P9" s="95">
        <f t="shared" si="3"/>
        <v>0</v>
      </c>
      <c r="R9" s="25"/>
      <c r="S9" s="25"/>
      <c r="T9" s="25"/>
      <c r="U9" s="25"/>
    </row>
    <row r="10" spans="1:21" s="4" customFormat="1" ht="19.5" customHeight="1" x14ac:dyDescent="0.25">
      <c r="A10" s="24">
        <v>45821</v>
      </c>
      <c r="B10" s="223" t="s">
        <v>186</v>
      </c>
      <c r="C10" s="25" t="s">
        <v>98</v>
      </c>
      <c r="D10" s="70"/>
      <c r="E10" s="71"/>
      <c r="F10" s="70">
        <v>6175000</v>
      </c>
      <c r="G10" s="71"/>
      <c r="H10" s="72">
        <f t="shared" si="4"/>
        <v>6175000</v>
      </c>
      <c r="I10" s="70">
        <f t="shared" si="5"/>
        <v>679250</v>
      </c>
      <c r="J10" s="70">
        <f t="shared" si="6"/>
        <v>6854250</v>
      </c>
      <c r="K10" s="3"/>
      <c r="L10" s="225">
        <v>45849</v>
      </c>
      <c r="M10" s="128"/>
      <c r="N10" s="164">
        <f>J10-M10</f>
        <v>6854250</v>
      </c>
      <c r="P10" s="95">
        <f t="shared" si="3"/>
        <v>0</v>
      </c>
      <c r="R10" s="25"/>
      <c r="S10" s="25"/>
      <c r="T10" s="25"/>
      <c r="U10" s="25"/>
    </row>
    <row r="11" spans="1:21" s="4" customFormat="1" ht="19.5" customHeight="1" x14ac:dyDescent="0.25">
      <c r="A11" s="24">
        <v>45821</v>
      </c>
      <c r="B11" s="223" t="s">
        <v>187</v>
      </c>
      <c r="C11" s="25" t="s">
        <v>58</v>
      </c>
      <c r="D11" s="70"/>
      <c r="E11" s="71"/>
      <c r="F11" s="70">
        <v>21750000</v>
      </c>
      <c r="G11" s="71"/>
      <c r="H11" s="72">
        <f t="shared" si="4"/>
        <v>21750000</v>
      </c>
      <c r="I11" s="70">
        <f t="shared" si="5"/>
        <v>2392500</v>
      </c>
      <c r="J11" s="70">
        <f t="shared" si="6"/>
        <v>24142500</v>
      </c>
      <c r="K11" s="3"/>
      <c r="L11" s="225">
        <v>45821</v>
      </c>
      <c r="M11" s="128"/>
      <c r="N11" s="164">
        <f t="shared" ref="N11:N17" si="7">J11-M11</f>
        <v>24142500</v>
      </c>
      <c r="P11" s="95">
        <f t="shared" si="3"/>
        <v>0</v>
      </c>
      <c r="R11" s="25"/>
      <c r="S11" s="25"/>
      <c r="T11" s="25"/>
      <c r="U11" s="25"/>
    </row>
    <row r="12" spans="1:21" s="4" customFormat="1" ht="19.5" customHeight="1" x14ac:dyDescent="0.25">
      <c r="A12" s="24">
        <v>45827</v>
      </c>
      <c r="B12" s="223" t="s">
        <v>188</v>
      </c>
      <c r="C12" s="25" t="s">
        <v>58</v>
      </c>
      <c r="D12" s="70"/>
      <c r="E12" s="71"/>
      <c r="F12" s="70">
        <v>77212500</v>
      </c>
      <c r="G12" s="71"/>
      <c r="H12" s="72">
        <f t="shared" si="4"/>
        <v>77212500</v>
      </c>
      <c r="I12" s="70">
        <f t="shared" si="5"/>
        <v>8493375</v>
      </c>
      <c r="J12" s="70">
        <f t="shared" si="6"/>
        <v>85705875</v>
      </c>
      <c r="K12" s="3"/>
      <c r="L12" s="225">
        <v>45827</v>
      </c>
      <c r="M12" s="128"/>
      <c r="N12" s="164">
        <f t="shared" si="7"/>
        <v>85705875</v>
      </c>
      <c r="P12" s="95">
        <f t="shared" si="3"/>
        <v>0</v>
      </c>
      <c r="R12" s="25"/>
      <c r="S12" s="25"/>
      <c r="T12" s="25"/>
      <c r="U12" s="25"/>
    </row>
    <row r="13" spans="1:21" s="4" customFormat="1" ht="19.5" customHeight="1" x14ac:dyDescent="0.25">
      <c r="A13" s="24">
        <v>45826</v>
      </c>
      <c r="B13" s="223" t="s">
        <v>189</v>
      </c>
      <c r="C13" s="25" t="s">
        <v>58</v>
      </c>
      <c r="D13" s="70"/>
      <c r="E13" s="71"/>
      <c r="F13" s="70">
        <v>1750000</v>
      </c>
      <c r="G13" s="71"/>
      <c r="H13" s="72">
        <f t="shared" si="4"/>
        <v>1750000</v>
      </c>
      <c r="I13" s="70">
        <f t="shared" si="5"/>
        <v>192500</v>
      </c>
      <c r="J13" s="70">
        <f t="shared" si="6"/>
        <v>1942500</v>
      </c>
      <c r="K13" s="3"/>
      <c r="L13" s="225">
        <v>45826</v>
      </c>
      <c r="M13" s="128"/>
      <c r="N13" s="164">
        <f t="shared" si="7"/>
        <v>1942500</v>
      </c>
      <c r="P13" s="95">
        <f t="shared" si="3"/>
        <v>0</v>
      </c>
      <c r="R13" s="25"/>
      <c r="S13" s="25"/>
      <c r="T13" s="25"/>
      <c r="U13" s="25"/>
    </row>
    <row r="14" spans="1:21" s="4" customFormat="1" ht="19.5" customHeight="1" x14ac:dyDescent="0.25">
      <c r="A14" s="24">
        <v>45831</v>
      </c>
      <c r="B14" s="223" t="s">
        <v>190</v>
      </c>
      <c r="C14" s="25" t="s">
        <v>58</v>
      </c>
      <c r="D14" s="70"/>
      <c r="E14" s="71"/>
      <c r="F14" s="70">
        <v>146000000</v>
      </c>
      <c r="G14" s="71"/>
      <c r="H14" s="72">
        <f t="shared" si="4"/>
        <v>146000000</v>
      </c>
      <c r="I14" s="70">
        <f t="shared" si="5"/>
        <v>16060000</v>
      </c>
      <c r="J14" s="70">
        <f t="shared" si="6"/>
        <v>162060000</v>
      </c>
      <c r="K14" s="3"/>
      <c r="L14" s="225">
        <v>45831</v>
      </c>
      <c r="M14" s="128"/>
      <c r="N14" s="164">
        <f t="shared" si="7"/>
        <v>162060000</v>
      </c>
      <c r="P14" s="95">
        <f t="shared" si="3"/>
        <v>0</v>
      </c>
      <c r="R14" s="25"/>
      <c r="S14" s="25"/>
      <c r="T14" s="25"/>
      <c r="U14" s="25"/>
    </row>
    <row r="15" spans="1:21" s="4" customFormat="1" ht="19.5" customHeight="1" x14ac:dyDescent="0.25">
      <c r="A15" s="24">
        <v>45834</v>
      </c>
      <c r="B15" s="223" t="s">
        <v>191</v>
      </c>
      <c r="C15" s="25" t="s">
        <v>58</v>
      </c>
      <c r="D15" s="70"/>
      <c r="E15" s="71"/>
      <c r="F15" s="70">
        <v>54750000</v>
      </c>
      <c r="G15" s="71"/>
      <c r="H15" s="72">
        <f t="shared" si="4"/>
        <v>54750000</v>
      </c>
      <c r="I15" s="70">
        <f t="shared" si="5"/>
        <v>6022500</v>
      </c>
      <c r="J15" s="70">
        <f t="shared" si="6"/>
        <v>60772500</v>
      </c>
      <c r="K15" s="3"/>
      <c r="L15" s="225">
        <v>45834</v>
      </c>
      <c r="M15" s="128"/>
      <c r="N15" s="164">
        <f t="shared" si="7"/>
        <v>60772500</v>
      </c>
      <c r="P15" s="95">
        <f t="shared" si="3"/>
        <v>0</v>
      </c>
      <c r="R15" s="25"/>
      <c r="S15" s="25"/>
      <c r="T15" s="25"/>
      <c r="U15" s="25"/>
    </row>
    <row r="16" spans="1:21" s="4" customFormat="1" ht="19.5" customHeight="1" x14ac:dyDescent="0.25">
      <c r="A16" s="24">
        <v>45828</v>
      </c>
      <c r="B16" s="223" t="s">
        <v>192</v>
      </c>
      <c r="C16" s="25" t="s">
        <v>182</v>
      </c>
      <c r="D16" s="70">
        <v>750000</v>
      </c>
      <c r="E16" s="71"/>
      <c r="F16" s="70"/>
      <c r="G16" s="71"/>
      <c r="H16" s="72">
        <f t="shared" si="4"/>
        <v>750000</v>
      </c>
      <c r="I16" s="70">
        <f t="shared" si="5"/>
        <v>82500</v>
      </c>
      <c r="J16" s="70">
        <f t="shared" si="6"/>
        <v>832500</v>
      </c>
      <c r="K16" s="3"/>
      <c r="L16" s="225">
        <v>45828</v>
      </c>
      <c r="M16" s="128"/>
      <c r="N16" s="164">
        <f t="shared" si="7"/>
        <v>832500</v>
      </c>
      <c r="P16" s="95">
        <f t="shared" si="3"/>
        <v>0</v>
      </c>
      <c r="R16" s="25"/>
      <c r="S16" s="25"/>
      <c r="T16" s="25"/>
      <c r="U16" s="25"/>
    </row>
    <row r="17" spans="1:21" s="4" customFormat="1" ht="19.5" customHeight="1" x14ac:dyDescent="0.25">
      <c r="A17" s="24">
        <v>45833</v>
      </c>
      <c r="B17" s="223" t="s">
        <v>198</v>
      </c>
      <c r="C17" s="25" t="s">
        <v>199</v>
      </c>
      <c r="D17" s="70"/>
      <c r="E17" s="71"/>
      <c r="F17" s="70">
        <v>22140000</v>
      </c>
      <c r="G17" s="71"/>
      <c r="H17" s="72">
        <f t="shared" si="4"/>
        <v>22140000</v>
      </c>
      <c r="I17" s="70">
        <f t="shared" si="5"/>
        <v>2435400</v>
      </c>
      <c r="J17" s="70">
        <f t="shared" si="6"/>
        <v>24575400</v>
      </c>
      <c r="K17" s="3"/>
      <c r="L17" s="225">
        <v>45833</v>
      </c>
      <c r="M17" s="128"/>
      <c r="N17" s="164">
        <f t="shared" si="7"/>
        <v>24575400</v>
      </c>
      <c r="P17" s="95">
        <f t="shared" si="3"/>
        <v>0</v>
      </c>
      <c r="R17" s="25"/>
      <c r="S17" s="25"/>
      <c r="T17" s="25"/>
      <c r="U17" s="25"/>
    </row>
    <row r="18" spans="1:21" s="4" customFormat="1" ht="19.5" customHeight="1" x14ac:dyDescent="0.25">
      <c r="A18" s="24"/>
      <c r="B18" s="223"/>
      <c r="C18" s="25"/>
      <c r="D18" s="70"/>
      <c r="E18" s="71"/>
      <c r="F18" s="70"/>
      <c r="G18" s="71"/>
      <c r="H18" s="72">
        <f t="shared" si="0"/>
        <v>0</v>
      </c>
      <c r="I18" s="70">
        <f t="shared" si="2"/>
        <v>0</v>
      </c>
      <c r="J18" s="70">
        <f t="shared" si="1"/>
        <v>0</v>
      </c>
      <c r="K18" s="3"/>
      <c r="L18" s="225"/>
      <c r="M18" s="128"/>
      <c r="N18" s="164">
        <f>J18-M18</f>
        <v>0</v>
      </c>
      <c r="P18" s="95">
        <f t="shared" si="3"/>
        <v>0</v>
      </c>
      <c r="R18" s="25"/>
      <c r="S18" s="25"/>
      <c r="T18" s="25"/>
      <c r="U18" s="25"/>
    </row>
    <row r="19" spans="1:21" s="4" customFormat="1" ht="19.5" customHeight="1" x14ac:dyDescent="0.25">
      <c r="A19" s="24"/>
      <c r="B19" s="223"/>
      <c r="C19" s="25"/>
      <c r="D19" s="70"/>
      <c r="E19" s="71"/>
      <c r="F19" s="70"/>
      <c r="G19" s="71"/>
      <c r="H19" s="72">
        <f t="shared" si="0"/>
        <v>0</v>
      </c>
      <c r="I19" s="70">
        <f t="shared" si="2"/>
        <v>0</v>
      </c>
      <c r="J19" s="70">
        <f t="shared" si="1"/>
        <v>0</v>
      </c>
      <c r="K19" s="3"/>
      <c r="L19" s="225"/>
      <c r="M19" s="128"/>
      <c r="N19" s="164">
        <f t="shared" ref="N19:N20" si="8">J19-M19</f>
        <v>0</v>
      </c>
      <c r="P19" s="95">
        <f t="shared" si="3"/>
        <v>0</v>
      </c>
      <c r="R19" s="25"/>
      <c r="S19" s="25"/>
      <c r="T19" s="25"/>
      <c r="U19" s="25"/>
    </row>
    <row r="20" spans="1:21" s="4" customFormat="1" ht="15.75" x14ac:dyDescent="0.25">
      <c r="A20" s="24"/>
      <c r="B20" s="223"/>
      <c r="C20" s="25"/>
      <c r="D20" s="70"/>
      <c r="E20" s="73"/>
      <c r="F20" s="70"/>
      <c r="G20" s="71"/>
      <c r="H20" s="72">
        <f t="shared" si="0"/>
        <v>0</v>
      </c>
      <c r="I20" s="70">
        <f t="shared" si="2"/>
        <v>0</v>
      </c>
      <c r="J20" s="70">
        <f t="shared" si="1"/>
        <v>0</v>
      </c>
      <c r="K20" s="3"/>
      <c r="L20" s="145"/>
      <c r="M20" s="158">
        <f>D20*0.02</f>
        <v>0</v>
      </c>
      <c r="N20" s="164">
        <f t="shared" si="8"/>
        <v>0</v>
      </c>
      <c r="P20" s="95">
        <f t="shared" si="3"/>
        <v>0</v>
      </c>
      <c r="Q20" s="161"/>
      <c r="R20" s="25"/>
      <c r="S20" s="25"/>
      <c r="T20" s="145"/>
      <c r="U20" s="81"/>
    </row>
    <row r="21" spans="1:21" ht="21.75" customHeight="1" x14ac:dyDescent="0.25">
      <c r="A21" s="45"/>
      <c r="B21" s="45"/>
      <c r="C21" s="36" t="s">
        <v>0</v>
      </c>
      <c r="D21" s="44">
        <f t="shared" ref="D21:J21" si="9">SUM(D6:D20)</f>
        <v>3250000</v>
      </c>
      <c r="E21" s="44">
        <f t="shared" si="9"/>
        <v>0</v>
      </c>
      <c r="F21" s="44">
        <f t="shared" si="9"/>
        <v>412206650</v>
      </c>
      <c r="G21" s="58">
        <f t="shared" si="9"/>
        <v>0</v>
      </c>
      <c r="H21" s="44">
        <f t="shared" si="9"/>
        <v>415456650</v>
      </c>
      <c r="I21" s="44">
        <f t="shared" si="9"/>
        <v>45700231.5</v>
      </c>
      <c r="J21" s="44">
        <f t="shared" si="9"/>
        <v>461156881.5</v>
      </c>
      <c r="L21" s="131"/>
      <c r="M21" s="134">
        <f>SUM(M6:M20)</f>
        <v>0</v>
      </c>
      <c r="N21" s="134">
        <f>SUM(N6:N20)</f>
        <v>461156881.5</v>
      </c>
      <c r="P21" s="134">
        <f>SUM(P6:P20)</f>
        <v>0</v>
      </c>
      <c r="R21" s="134"/>
      <c r="S21" s="134"/>
      <c r="T21" s="134"/>
      <c r="U21" s="134"/>
    </row>
    <row r="22" spans="1:21" x14ac:dyDescent="0.25">
      <c r="Q22" s="18"/>
      <c r="U22" s="138"/>
    </row>
    <row r="23" spans="1:21" x14ac:dyDescent="0.25">
      <c r="N23" s="135"/>
      <c r="Q23" s="18"/>
    </row>
    <row r="24" spans="1:21" x14ac:dyDescent="0.25">
      <c r="N24" s="18"/>
      <c r="Q24" s="138"/>
    </row>
    <row r="25" spans="1:21" x14ac:dyDescent="0.25">
      <c r="N25" s="172"/>
      <c r="Q25" s="18"/>
    </row>
    <row r="26" spans="1:21" x14ac:dyDescent="0.25">
      <c r="Q26" s="138"/>
    </row>
    <row r="27" spans="1:21" x14ac:dyDescent="0.25">
      <c r="N27" s="137"/>
    </row>
    <row r="29" spans="1:21" x14ac:dyDescent="0.25">
      <c r="M29" s="18"/>
    </row>
    <row r="30" spans="1:21" x14ac:dyDescent="0.25">
      <c r="M30" s="138"/>
    </row>
    <row r="31" spans="1:21" x14ac:dyDescent="0.25">
      <c r="M31" s="18"/>
    </row>
    <row r="32" spans="1:21" x14ac:dyDescent="0.25">
      <c r="M32" s="138"/>
    </row>
  </sheetData>
  <autoFilter ref="C1:C27" xr:uid="{00000000-0009-0000-0000-000006000000}"/>
  <mergeCells count="8">
    <mergeCell ref="M4:M5"/>
    <mergeCell ref="N4:N5"/>
    <mergeCell ref="P4:P5"/>
    <mergeCell ref="A4:A5"/>
    <mergeCell ref="B4:B5"/>
    <mergeCell ref="C4:C5"/>
    <mergeCell ref="D4:J4"/>
    <mergeCell ref="L4:L5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2"/>
  <sheetViews>
    <sheetView workbookViewId="0">
      <pane ySplit="5" topLeftCell="A6" activePane="bottomLeft" state="frozen"/>
      <selection pane="bottomLeft" activeCell="L8" sqref="L8"/>
    </sheetView>
  </sheetViews>
  <sheetFormatPr defaultRowHeight="15" x14ac:dyDescent="0.25"/>
  <cols>
    <col min="1" max="1" width="12.28515625" customWidth="1"/>
    <col min="2" max="2" width="20.42578125" bestFit="1" customWidth="1"/>
    <col min="3" max="3" width="36.5703125" customWidth="1"/>
    <col min="4" max="4" width="15.42578125" customWidth="1"/>
    <col min="5" max="5" width="16.5703125" bestFit="1" customWidth="1"/>
    <col min="6" max="6" width="14.42578125" customWidth="1"/>
    <col min="7" max="7" width="14.1406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5.5703125" customWidth="1"/>
    <col min="12" max="12" width="13.140625" customWidth="1"/>
    <col min="13" max="13" width="10.85546875" customWidth="1"/>
    <col min="14" max="14" width="9.5703125" customWidth="1"/>
    <col min="15" max="15" width="13.42578125" customWidth="1"/>
    <col min="16" max="16" width="5" customWidth="1"/>
    <col min="17" max="17" width="12.7109375" customWidth="1"/>
    <col min="19" max="19" width="23.5703125" bestFit="1" customWidth="1"/>
    <col min="20" max="20" width="26.42578125" bestFit="1" customWidth="1"/>
    <col min="22" max="22" width="10.5703125" bestFit="1" customWidth="1"/>
  </cols>
  <sheetData>
    <row r="1" spans="1:22" ht="19.5" x14ac:dyDescent="0.25">
      <c r="A1" s="2" t="s">
        <v>168</v>
      </c>
      <c r="B1" s="2"/>
      <c r="C1" s="4"/>
      <c r="D1" s="13"/>
      <c r="E1" s="6"/>
      <c r="F1" s="11"/>
      <c r="G1" s="10"/>
    </row>
    <row r="2" spans="1:22" x14ac:dyDescent="0.25">
      <c r="A2" s="4"/>
      <c r="B2" s="4"/>
      <c r="C2" s="4"/>
      <c r="D2" s="13"/>
      <c r="E2" s="6"/>
      <c r="F2" s="4"/>
      <c r="G2" s="10"/>
    </row>
    <row r="3" spans="1:22" x14ac:dyDescent="0.25">
      <c r="A3" s="12" t="s">
        <v>3</v>
      </c>
      <c r="B3" s="4"/>
      <c r="C3" s="4"/>
      <c r="D3" s="13"/>
      <c r="E3" s="6"/>
      <c r="F3" s="4"/>
      <c r="G3" s="10"/>
    </row>
    <row r="4" spans="1:22" ht="22.5" customHeight="1" x14ac:dyDescent="0.25">
      <c r="A4" s="288" t="s">
        <v>2</v>
      </c>
      <c r="B4" s="290" t="s">
        <v>4</v>
      </c>
      <c r="C4" s="288" t="s">
        <v>32</v>
      </c>
      <c r="D4" s="282" t="s">
        <v>1</v>
      </c>
      <c r="E4" s="282"/>
      <c r="F4" s="282"/>
      <c r="G4" s="282"/>
      <c r="H4" s="282"/>
      <c r="I4" s="282"/>
      <c r="J4" s="282"/>
      <c r="L4" s="286" t="s">
        <v>25</v>
      </c>
      <c r="M4" s="286" t="s">
        <v>28</v>
      </c>
      <c r="N4" s="286" t="s">
        <v>29</v>
      </c>
      <c r="O4" s="286" t="s">
        <v>26</v>
      </c>
      <c r="Q4" s="286" t="s">
        <v>27</v>
      </c>
    </row>
    <row r="5" spans="1:22" ht="15.75" x14ac:dyDescent="0.25">
      <c r="A5" s="289"/>
      <c r="B5" s="291"/>
      <c r="C5" s="289"/>
      <c r="D5" s="38" t="s">
        <v>6</v>
      </c>
      <c r="E5" s="38" t="s">
        <v>5</v>
      </c>
      <c r="F5" s="39" t="s">
        <v>7</v>
      </c>
      <c r="G5" s="39" t="s">
        <v>8</v>
      </c>
      <c r="H5" s="39" t="s">
        <v>0</v>
      </c>
      <c r="I5" s="40" t="s">
        <v>3</v>
      </c>
      <c r="J5" s="40" t="s">
        <v>9</v>
      </c>
      <c r="L5" s="287"/>
      <c r="M5" s="287"/>
      <c r="N5" s="287"/>
      <c r="O5" s="287"/>
      <c r="Q5" s="286"/>
    </row>
    <row r="6" spans="1:22" s="4" customFormat="1" ht="15.75" x14ac:dyDescent="0.25">
      <c r="A6" s="20">
        <v>45853</v>
      </c>
      <c r="B6" s="224" t="s">
        <v>193</v>
      </c>
      <c r="C6" s="21" t="s">
        <v>58</v>
      </c>
      <c r="D6" s="77"/>
      <c r="E6" s="78"/>
      <c r="F6" s="79">
        <v>235880000</v>
      </c>
      <c r="G6" s="78"/>
      <c r="H6" s="142">
        <f>SUM(D6:G6)</f>
        <v>235880000</v>
      </c>
      <c r="I6" s="143">
        <f>H6*0.11</f>
        <v>25946800</v>
      </c>
      <c r="J6" s="143">
        <f>H6+I6</f>
        <v>261826800</v>
      </c>
      <c r="K6" s="3"/>
      <c r="L6" s="145">
        <v>45853</v>
      </c>
      <c r="M6" s="139"/>
      <c r="N6" s="126"/>
      <c r="O6" s="163">
        <f t="shared" ref="O6:O12" si="0">J6-M6-N6</f>
        <v>261826800</v>
      </c>
      <c r="Q6" s="144">
        <f>J6-M6-N6-O6</f>
        <v>0</v>
      </c>
      <c r="S6" s="126"/>
      <c r="T6" s="126"/>
      <c r="U6" s="126"/>
      <c r="V6" s="126"/>
    </row>
    <row r="7" spans="1:22" s="4" customFormat="1" ht="15.75" x14ac:dyDescent="0.25">
      <c r="A7" s="7">
        <v>45854</v>
      </c>
      <c r="B7" s="252" t="s">
        <v>194</v>
      </c>
      <c r="C7" s="8" t="s">
        <v>38</v>
      </c>
      <c r="D7" s="141"/>
      <c r="E7" s="14"/>
      <c r="F7" s="226">
        <v>26250000</v>
      </c>
      <c r="G7" s="9"/>
      <c r="H7" s="82">
        <f>SUM(D7:G7)</f>
        <v>26250000</v>
      </c>
      <c r="I7" s="217">
        <f>H7*0.11</f>
        <v>2887500</v>
      </c>
      <c r="J7" s="83">
        <f>H7+I7</f>
        <v>29137500</v>
      </c>
      <c r="K7" s="3"/>
      <c r="L7" s="145">
        <v>45898</v>
      </c>
      <c r="M7" s="165"/>
      <c r="N7" s="165"/>
      <c r="O7" s="149">
        <f>J7-M7-N7</f>
        <v>29137500</v>
      </c>
      <c r="Q7" s="81">
        <f>J7-M7-N7-O7</f>
        <v>0</v>
      </c>
      <c r="S7" s="128"/>
      <c r="T7" s="128"/>
      <c r="U7" s="128"/>
      <c r="V7" s="128"/>
    </row>
    <row r="8" spans="1:22" s="4" customFormat="1" ht="15.75" x14ac:dyDescent="0.25">
      <c r="A8" s="24">
        <v>45862</v>
      </c>
      <c r="B8" s="223" t="s">
        <v>195</v>
      </c>
      <c r="C8" s="25" t="s">
        <v>58</v>
      </c>
      <c r="D8" s="80"/>
      <c r="E8" s="81"/>
      <c r="F8" s="80">
        <v>6982500</v>
      </c>
      <c r="G8" s="81"/>
      <c r="H8" s="82">
        <f t="shared" ref="H8:H20" si="1">SUM(D8:G8)</f>
        <v>6982500</v>
      </c>
      <c r="I8" s="83">
        <f>H8*0.11</f>
        <v>768075</v>
      </c>
      <c r="J8" s="83">
        <f t="shared" ref="J8:J20" si="2">H8+I8</f>
        <v>7750575</v>
      </c>
      <c r="K8" s="3"/>
      <c r="L8" s="145">
        <v>45862</v>
      </c>
      <c r="M8" s="162"/>
      <c r="N8" s="162"/>
      <c r="O8" s="149">
        <f t="shared" si="0"/>
        <v>7750575</v>
      </c>
      <c r="Q8" s="81">
        <f>J8-M8-N8-O8</f>
        <v>0</v>
      </c>
      <c r="S8" s="128"/>
      <c r="T8" s="128"/>
      <c r="U8" s="128"/>
      <c r="V8" s="128"/>
    </row>
    <row r="9" spans="1:22" s="4" customFormat="1" ht="15.75" x14ac:dyDescent="0.25">
      <c r="A9" s="24">
        <v>45863</v>
      </c>
      <c r="B9" s="223" t="s">
        <v>196</v>
      </c>
      <c r="C9" s="25" t="s">
        <v>39</v>
      </c>
      <c r="D9" s="80"/>
      <c r="E9" s="81"/>
      <c r="F9" s="80">
        <v>20000000</v>
      </c>
      <c r="G9" s="81"/>
      <c r="H9" s="82">
        <f t="shared" si="1"/>
        <v>20000000</v>
      </c>
      <c r="I9" s="83">
        <f>H9*0.11</f>
        <v>2200000</v>
      </c>
      <c r="J9" s="83">
        <f t="shared" si="2"/>
        <v>22200000</v>
      </c>
      <c r="K9" s="3"/>
      <c r="L9" s="145">
        <v>45898</v>
      </c>
      <c r="M9" s="162"/>
      <c r="N9" s="162"/>
      <c r="O9" s="149">
        <f>J9-N9</f>
        <v>22200000</v>
      </c>
      <c r="Q9" s="81">
        <f t="shared" ref="Q9:Q20" si="3">J9-M9-N9-O9</f>
        <v>0</v>
      </c>
      <c r="S9" s="128"/>
      <c r="T9" s="128"/>
      <c r="U9" s="128"/>
      <c r="V9" s="128"/>
    </row>
    <row r="10" spans="1:22" s="4" customFormat="1" ht="15.75" x14ac:dyDescent="0.25">
      <c r="A10" s="24">
        <v>45863</v>
      </c>
      <c r="B10" s="223" t="s">
        <v>197</v>
      </c>
      <c r="C10" s="25" t="s">
        <v>56</v>
      </c>
      <c r="D10" s="80"/>
      <c r="E10" s="81"/>
      <c r="F10" s="80">
        <v>17000000</v>
      </c>
      <c r="G10" s="81"/>
      <c r="H10" s="82">
        <f t="shared" si="1"/>
        <v>17000000</v>
      </c>
      <c r="I10" s="83">
        <f>H10*0.11</f>
        <v>1870000</v>
      </c>
      <c r="J10" s="83">
        <f t="shared" si="2"/>
        <v>18870000</v>
      </c>
      <c r="K10" s="3"/>
      <c r="L10" s="145">
        <v>45862</v>
      </c>
      <c r="M10" s="158"/>
      <c r="N10" s="158"/>
      <c r="O10" s="149">
        <f t="shared" si="0"/>
        <v>18870000</v>
      </c>
      <c r="Q10" s="81">
        <f t="shared" si="3"/>
        <v>0</v>
      </c>
      <c r="S10" s="25"/>
      <c r="T10" s="25"/>
      <c r="U10" s="34"/>
      <c r="V10" s="81">
        <f>M10</f>
        <v>0</v>
      </c>
    </row>
    <row r="11" spans="1:22" s="4" customFormat="1" ht="15.75" x14ac:dyDescent="0.25">
      <c r="A11" s="24">
        <v>45866</v>
      </c>
      <c r="B11" s="223" t="s">
        <v>200</v>
      </c>
      <c r="C11" s="25" t="s">
        <v>58</v>
      </c>
      <c r="D11" s="80"/>
      <c r="E11" s="81"/>
      <c r="F11" s="80">
        <v>105971700</v>
      </c>
      <c r="G11" s="81"/>
      <c r="H11" s="82">
        <f t="shared" si="1"/>
        <v>105971700</v>
      </c>
      <c r="I11" s="83">
        <f t="shared" ref="I11:I20" si="4">H11*0.11</f>
        <v>11656887</v>
      </c>
      <c r="J11" s="83">
        <f t="shared" si="2"/>
        <v>117628587</v>
      </c>
      <c r="K11" s="3"/>
      <c r="L11" s="145">
        <v>45866</v>
      </c>
      <c r="M11" s="159"/>
      <c r="N11" s="158"/>
      <c r="O11" s="149">
        <f t="shared" si="0"/>
        <v>117628587</v>
      </c>
      <c r="Q11" s="81">
        <f t="shared" si="3"/>
        <v>0</v>
      </c>
      <c r="S11" s="128"/>
      <c r="T11" s="128"/>
      <c r="U11" s="128"/>
      <c r="V11" s="128"/>
    </row>
    <row r="12" spans="1:22" s="4" customFormat="1" ht="15" customHeight="1" x14ac:dyDescent="0.25">
      <c r="A12" s="24">
        <v>45868</v>
      </c>
      <c r="B12" s="223" t="s">
        <v>201</v>
      </c>
      <c r="C12" s="25" t="s">
        <v>58</v>
      </c>
      <c r="D12" s="80"/>
      <c r="E12" s="81"/>
      <c r="F12" s="80">
        <v>78029115</v>
      </c>
      <c r="G12" s="81"/>
      <c r="H12" s="82">
        <f t="shared" si="1"/>
        <v>78029115</v>
      </c>
      <c r="I12" s="83">
        <f t="shared" si="4"/>
        <v>8583202.6500000004</v>
      </c>
      <c r="J12" s="83">
        <f t="shared" si="2"/>
        <v>86612317.650000006</v>
      </c>
      <c r="K12" s="3"/>
      <c r="L12" s="145">
        <v>45868</v>
      </c>
      <c r="M12" s="162"/>
      <c r="N12" s="162"/>
      <c r="O12" s="149">
        <f t="shared" si="0"/>
        <v>86612317.650000006</v>
      </c>
      <c r="Q12" s="81">
        <f t="shared" si="3"/>
        <v>0</v>
      </c>
      <c r="S12" s="128"/>
      <c r="T12" s="128"/>
      <c r="U12" s="128"/>
      <c r="V12" s="128"/>
    </row>
    <row r="13" spans="1:22" s="4" customFormat="1" ht="15.75" x14ac:dyDescent="0.25">
      <c r="A13" s="24">
        <v>45868</v>
      </c>
      <c r="B13" s="24" t="s">
        <v>202</v>
      </c>
      <c r="C13" s="25" t="s">
        <v>39</v>
      </c>
      <c r="D13" s="80"/>
      <c r="E13" s="81"/>
      <c r="F13" s="80">
        <v>18000000</v>
      </c>
      <c r="G13" s="81"/>
      <c r="H13" s="82">
        <f t="shared" si="1"/>
        <v>18000000</v>
      </c>
      <c r="I13" s="83">
        <f t="shared" si="4"/>
        <v>1980000</v>
      </c>
      <c r="J13" s="83">
        <f t="shared" si="2"/>
        <v>19980000</v>
      </c>
      <c r="K13" s="3"/>
      <c r="L13" s="228">
        <v>45898</v>
      </c>
      <c r="M13" s="128"/>
      <c r="N13" s="128"/>
      <c r="O13" s="244">
        <f>J13-M13-N13</f>
        <v>19980000</v>
      </c>
      <c r="Q13" s="81">
        <f t="shared" si="3"/>
        <v>0</v>
      </c>
      <c r="S13" s="128"/>
      <c r="T13" s="128"/>
      <c r="U13" s="128"/>
      <c r="V13" s="128"/>
    </row>
    <row r="14" spans="1:22" s="4" customFormat="1" ht="15.75" x14ac:dyDescent="0.25">
      <c r="A14" s="24">
        <v>45868</v>
      </c>
      <c r="B14" s="223" t="s">
        <v>203</v>
      </c>
      <c r="C14" s="25" t="s">
        <v>57</v>
      </c>
      <c r="D14" s="80">
        <v>2330000</v>
      </c>
      <c r="E14" s="81"/>
      <c r="F14" s="80"/>
      <c r="G14" s="81"/>
      <c r="H14" s="82">
        <f t="shared" si="1"/>
        <v>2330000</v>
      </c>
      <c r="I14" s="83">
        <v>0</v>
      </c>
      <c r="J14" s="83">
        <f t="shared" si="2"/>
        <v>2330000</v>
      </c>
      <c r="K14" s="3"/>
      <c r="L14" s="145">
        <v>45884</v>
      </c>
      <c r="M14" s="128"/>
      <c r="N14" s="128"/>
      <c r="O14" s="149">
        <f>J14-M14-N14</f>
        <v>2330000</v>
      </c>
      <c r="Q14" s="81">
        <f t="shared" si="3"/>
        <v>0</v>
      </c>
      <c r="S14" s="128"/>
      <c r="T14" s="128"/>
      <c r="U14" s="128"/>
      <c r="V14" s="128"/>
    </row>
    <row r="15" spans="1:22" s="4" customFormat="1" ht="15.75" x14ac:dyDescent="0.25">
      <c r="A15" s="24">
        <v>45869</v>
      </c>
      <c r="B15" s="223" t="s">
        <v>204</v>
      </c>
      <c r="C15" s="25" t="s">
        <v>37</v>
      </c>
      <c r="D15" s="80"/>
      <c r="E15" s="81"/>
      <c r="F15" s="80">
        <v>330000000</v>
      </c>
      <c r="G15" s="81"/>
      <c r="H15" s="82">
        <f t="shared" si="1"/>
        <v>330000000</v>
      </c>
      <c r="I15" s="83">
        <f t="shared" si="4"/>
        <v>36300000</v>
      </c>
      <c r="J15" s="83">
        <f t="shared" si="2"/>
        <v>366300000</v>
      </c>
      <c r="K15" s="3"/>
      <c r="L15" s="34">
        <v>45917</v>
      </c>
      <c r="M15" s="139"/>
      <c r="N15" s="128"/>
      <c r="O15" s="81">
        <f>J15-M15-N15</f>
        <v>366300000</v>
      </c>
      <c r="Q15" s="81">
        <f t="shared" si="3"/>
        <v>0</v>
      </c>
      <c r="S15" s="25"/>
      <c r="T15" s="189"/>
      <c r="U15" s="34"/>
      <c r="V15" s="190">
        <f>M15</f>
        <v>0</v>
      </c>
    </row>
    <row r="16" spans="1:22" s="4" customFormat="1" ht="15.75" x14ac:dyDescent="0.25">
      <c r="A16" s="24">
        <v>45869</v>
      </c>
      <c r="B16" s="223" t="s">
        <v>205</v>
      </c>
      <c r="C16" s="25" t="s">
        <v>151</v>
      </c>
      <c r="D16" s="80"/>
      <c r="E16" s="81"/>
      <c r="F16" s="80">
        <v>22380000</v>
      </c>
      <c r="G16" s="81"/>
      <c r="H16" s="82">
        <f t="shared" si="1"/>
        <v>22380000</v>
      </c>
      <c r="I16" s="83">
        <f t="shared" si="4"/>
        <v>2461800</v>
      </c>
      <c r="J16" s="83">
        <f t="shared" si="2"/>
        <v>24841800</v>
      </c>
      <c r="K16" s="3"/>
      <c r="L16" s="34">
        <v>45917</v>
      </c>
      <c r="M16" s="95">
        <v>0</v>
      </c>
      <c r="N16" s="128"/>
      <c r="O16" s="81">
        <f>J16-N16</f>
        <v>24841800</v>
      </c>
      <c r="Q16" s="81">
        <f t="shared" si="3"/>
        <v>0</v>
      </c>
      <c r="S16" s="25"/>
      <c r="T16" s="189"/>
      <c r="U16" s="34"/>
      <c r="V16" s="81">
        <f>M16</f>
        <v>0</v>
      </c>
    </row>
    <row r="17" spans="1:22" s="4" customFormat="1" ht="15.75" x14ac:dyDescent="0.25">
      <c r="A17" s="24">
        <v>45869</v>
      </c>
      <c r="B17" s="223" t="s">
        <v>206</v>
      </c>
      <c r="C17" s="25" t="s">
        <v>58</v>
      </c>
      <c r="D17" s="80"/>
      <c r="E17" s="81"/>
      <c r="F17" s="80">
        <v>34965000</v>
      </c>
      <c r="G17" s="81"/>
      <c r="H17" s="82">
        <f t="shared" si="1"/>
        <v>34965000</v>
      </c>
      <c r="I17" s="83">
        <f t="shared" si="4"/>
        <v>3846150</v>
      </c>
      <c r="J17" s="83">
        <f t="shared" si="2"/>
        <v>38811150</v>
      </c>
      <c r="K17" s="3"/>
      <c r="L17" s="34">
        <v>45869</v>
      </c>
      <c r="M17" s="128"/>
      <c r="N17" s="128"/>
      <c r="O17" s="81">
        <f t="shared" ref="O17:O19" si="5">J17-M17-N17</f>
        <v>38811150</v>
      </c>
      <c r="Q17" s="81">
        <f t="shared" si="3"/>
        <v>0</v>
      </c>
      <c r="S17" s="128"/>
      <c r="T17" s="128"/>
      <c r="U17" s="128"/>
      <c r="V17" s="128"/>
    </row>
    <row r="18" spans="1:22" s="4" customFormat="1" ht="15.75" x14ac:dyDescent="0.25">
      <c r="A18" s="24">
        <v>45868</v>
      </c>
      <c r="B18" s="223" t="s">
        <v>207</v>
      </c>
      <c r="C18" s="25" t="s">
        <v>56</v>
      </c>
      <c r="D18" s="80"/>
      <c r="E18" s="81"/>
      <c r="F18" s="84">
        <v>8500000</v>
      </c>
      <c r="G18" s="81"/>
      <c r="H18" s="82">
        <f t="shared" ref="H18:H19" si="6">SUM(D18:G18)</f>
        <v>8500000</v>
      </c>
      <c r="I18" s="83">
        <f t="shared" si="4"/>
        <v>935000</v>
      </c>
      <c r="J18" s="83">
        <f t="shared" ref="J18:J19" si="7">H18+I18</f>
        <v>9435000</v>
      </c>
      <c r="K18" s="3"/>
      <c r="L18" s="34">
        <v>45867</v>
      </c>
      <c r="M18" s="139">
        <v>0</v>
      </c>
      <c r="N18" s="95"/>
      <c r="O18" s="81">
        <f t="shared" si="5"/>
        <v>9435000</v>
      </c>
      <c r="Q18" s="81">
        <f t="shared" si="3"/>
        <v>0</v>
      </c>
      <c r="S18" s="187"/>
      <c r="T18" s="187"/>
      <c r="U18" s="187"/>
      <c r="V18" s="187"/>
    </row>
    <row r="19" spans="1:22" s="4" customFormat="1" ht="15.75" x14ac:dyDescent="0.25">
      <c r="A19" s="205">
        <v>45866</v>
      </c>
      <c r="B19" s="230"/>
      <c r="C19" s="206" t="s">
        <v>208</v>
      </c>
      <c r="D19" s="275"/>
      <c r="E19" s="276"/>
      <c r="F19" s="277">
        <v>21000000</v>
      </c>
      <c r="G19" s="276"/>
      <c r="H19" s="278">
        <f t="shared" si="6"/>
        <v>21000000</v>
      </c>
      <c r="I19" s="83">
        <v>0</v>
      </c>
      <c r="J19" s="279">
        <f t="shared" si="7"/>
        <v>21000000</v>
      </c>
      <c r="K19" s="3"/>
      <c r="L19" s="34">
        <v>45896</v>
      </c>
      <c r="M19" s="139"/>
      <c r="N19" s="95"/>
      <c r="O19" s="81">
        <f t="shared" si="5"/>
        <v>21000000</v>
      </c>
      <c r="Q19" s="81"/>
      <c r="S19" s="280"/>
      <c r="T19" s="280"/>
      <c r="U19" s="280"/>
      <c r="V19" s="280"/>
    </row>
    <row r="20" spans="1:22" s="4" customFormat="1" ht="15.75" x14ac:dyDescent="0.25">
      <c r="A20" s="31"/>
      <c r="B20" s="31"/>
      <c r="C20" s="32"/>
      <c r="D20" s="85"/>
      <c r="E20" s="86"/>
      <c r="F20" s="85"/>
      <c r="G20" s="86"/>
      <c r="H20" s="87">
        <f t="shared" si="1"/>
        <v>0</v>
      </c>
      <c r="I20" s="83">
        <f t="shared" si="4"/>
        <v>0</v>
      </c>
      <c r="J20" s="88">
        <f t="shared" si="2"/>
        <v>0</v>
      </c>
      <c r="K20" s="3"/>
      <c r="L20" s="34"/>
      <c r="M20" s="139"/>
      <c r="N20" s="95"/>
      <c r="O20" s="81">
        <v>0</v>
      </c>
      <c r="Q20" s="81">
        <f t="shared" si="3"/>
        <v>0</v>
      </c>
      <c r="S20" s="178"/>
      <c r="T20" s="178"/>
      <c r="U20" s="178"/>
      <c r="V20" s="178"/>
    </row>
    <row r="21" spans="1:22" ht="21.75" customHeight="1" x14ac:dyDescent="0.25">
      <c r="A21" s="45"/>
      <c r="B21" s="45"/>
      <c r="C21" s="36" t="s">
        <v>0</v>
      </c>
      <c r="D21" s="44">
        <f t="shared" ref="D21:J21" si="8">SUM(D6:D20)</f>
        <v>2330000</v>
      </c>
      <c r="E21" s="44">
        <f t="shared" si="8"/>
        <v>0</v>
      </c>
      <c r="F21" s="44">
        <f t="shared" si="8"/>
        <v>924958315</v>
      </c>
      <c r="G21" s="58">
        <f t="shared" si="8"/>
        <v>0</v>
      </c>
      <c r="H21" s="44">
        <f t="shared" si="8"/>
        <v>927288315</v>
      </c>
      <c r="I21" s="44">
        <f t="shared" si="8"/>
        <v>99435414.650000006</v>
      </c>
      <c r="J21" s="44">
        <f t="shared" si="8"/>
        <v>1026723729.65</v>
      </c>
      <c r="L21" s="131"/>
      <c r="M21" s="134">
        <f>SUM(M6:M20)</f>
        <v>0</v>
      </c>
      <c r="N21" s="134">
        <f>SUM(N6:N20)</f>
        <v>0</v>
      </c>
      <c r="O21" s="134">
        <f>SUM(O6:O20)</f>
        <v>1026723729.65</v>
      </c>
      <c r="P21" s="4"/>
      <c r="Q21" s="134">
        <f>SUM(Q6:Q20)</f>
        <v>0</v>
      </c>
      <c r="S21" s="134">
        <f>SUM(S6:S20)</f>
        <v>0</v>
      </c>
      <c r="T21" s="134">
        <f>SUM(T6:T20)</f>
        <v>0</v>
      </c>
      <c r="U21" s="134"/>
      <c r="V21" s="134">
        <f>SUM(V6:V20)</f>
        <v>0</v>
      </c>
    </row>
    <row r="22" spans="1:22" x14ac:dyDescent="0.25">
      <c r="V22" s="138">
        <f>M21-V21</f>
        <v>0</v>
      </c>
    </row>
  </sheetData>
  <autoFilter ref="Q1:Q21" xr:uid="{00000000-0009-0000-0000-000007000000}"/>
  <mergeCells count="9">
    <mergeCell ref="M4:M5"/>
    <mergeCell ref="N4:N5"/>
    <mergeCell ref="O4:O5"/>
    <mergeCell ref="Q4:Q5"/>
    <mergeCell ref="A4:A5"/>
    <mergeCell ref="B4:B5"/>
    <mergeCell ref="C4:C5"/>
    <mergeCell ref="D4:J4"/>
    <mergeCell ref="L4:L5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U43"/>
  <sheetViews>
    <sheetView workbookViewId="0">
      <pane ySplit="6" topLeftCell="A7" activePane="bottomLeft" state="frozen"/>
      <selection pane="bottomLeft" activeCell="H11" sqref="H11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6.85546875" customWidth="1"/>
    <col min="4" max="4" width="15.42578125" customWidth="1"/>
    <col min="5" max="5" width="15.28515625" bestFit="1" customWidth="1"/>
    <col min="6" max="6" width="14.42578125" customWidth="1"/>
    <col min="7" max="7" width="14.1406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3.85546875" customWidth="1"/>
    <col min="12" max="12" width="14.28515625" customWidth="1"/>
    <col min="13" max="13" width="15.28515625" customWidth="1"/>
    <col min="14" max="14" width="15.42578125" customWidth="1"/>
    <col min="15" max="15" width="3.28515625" customWidth="1"/>
    <col min="16" max="16" width="14.42578125" customWidth="1"/>
    <col min="18" max="18" width="32.85546875" bestFit="1" customWidth="1"/>
    <col min="19" max="19" width="11" bestFit="1" customWidth="1"/>
    <col min="21" max="21" width="10.5703125" bestFit="1" customWidth="1"/>
  </cols>
  <sheetData>
    <row r="1" spans="1:21" ht="19.5" x14ac:dyDescent="0.25">
      <c r="A1" s="2" t="s">
        <v>169</v>
      </c>
      <c r="B1" s="2"/>
      <c r="C1" s="4"/>
      <c r="D1" s="13"/>
      <c r="E1" s="6"/>
      <c r="F1" s="11"/>
      <c r="G1" s="10"/>
    </row>
    <row r="2" spans="1:21" x14ac:dyDescent="0.25">
      <c r="A2" s="4"/>
      <c r="B2" s="4"/>
      <c r="C2" s="4"/>
      <c r="D2" s="13"/>
      <c r="E2" s="6"/>
      <c r="F2" s="4"/>
      <c r="G2" s="10"/>
    </row>
    <row r="3" spans="1:21" x14ac:dyDescent="0.25">
      <c r="A3" s="12" t="s">
        <v>3</v>
      </c>
      <c r="B3" s="4"/>
      <c r="C3" s="4"/>
      <c r="D3" s="13"/>
      <c r="E3" s="6"/>
      <c r="F3" s="4"/>
      <c r="G3" s="10"/>
    </row>
    <row r="4" spans="1:21" x14ac:dyDescent="0.25">
      <c r="B4" s="4"/>
      <c r="C4" s="4"/>
      <c r="D4" s="13"/>
      <c r="E4" s="6"/>
      <c r="F4" s="4"/>
      <c r="G4" s="10"/>
    </row>
    <row r="5" spans="1:21" ht="22.5" customHeight="1" x14ac:dyDescent="0.25">
      <c r="A5" s="288" t="s">
        <v>2</v>
      </c>
      <c r="B5" s="290" t="s">
        <v>4</v>
      </c>
      <c r="C5" s="288" t="s">
        <v>32</v>
      </c>
      <c r="D5" s="282" t="s">
        <v>1</v>
      </c>
      <c r="E5" s="282"/>
      <c r="F5" s="282"/>
      <c r="G5" s="282"/>
      <c r="H5" s="282"/>
      <c r="I5" s="282"/>
      <c r="J5" s="282"/>
      <c r="L5" s="286" t="s">
        <v>25</v>
      </c>
      <c r="M5" s="286" t="s">
        <v>29</v>
      </c>
      <c r="N5" s="286" t="s">
        <v>26</v>
      </c>
      <c r="P5" s="286" t="s">
        <v>31</v>
      </c>
    </row>
    <row r="6" spans="1:21" ht="15.75" x14ac:dyDescent="0.25">
      <c r="A6" s="289"/>
      <c r="B6" s="291"/>
      <c r="C6" s="289"/>
      <c r="D6" s="38" t="s">
        <v>6</v>
      </c>
      <c r="E6" s="38" t="s">
        <v>5</v>
      </c>
      <c r="F6" s="39" t="s">
        <v>7</v>
      </c>
      <c r="G6" s="39" t="s">
        <v>8</v>
      </c>
      <c r="H6" s="39" t="s">
        <v>0</v>
      </c>
      <c r="I6" s="40" t="s">
        <v>3</v>
      </c>
      <c r="J6" s="40" t="s">
        <v>9</v>
      </c>
      <c r="L6" s="287"/>
      <c r="M6" s="287"/>
      <c r="N6" s="287"/>
      <c r="P6" s="286"/>
    </row>
    <row r="7" spans="1:21" s="4" customFormat="1" ht="15.75" x14ac:dyDescent="0.25">
      <c r="A7" s="24">
        <v>45876</v>
      </c>
      <c r="B7" s="223" t="s">
        <v>209</v>
      </c>
      <c r="C7" s="25" t="s">
        <v>37</v>
      </c>
      <c r="D7" s="80"/>
      <c r="E7" s="81"/>
      <c r="F7" s="80">
        <v>16000000</v>
      </c>
      <c r="G7" s="81"/>
      <c r="H7" s="82">
        <f t="shared" ref="H7:H18" si="0">SUM(D7:G7)</f>
        <v>16000000</v>
      </c>
      <c r="I7" s="26">
        <f>H7*0.11</f>
        <v>1760000</v>
      </c>
      <c r="J7" s="83">
        <f t="shared" ref="J7:J18" si="1">SUM(H7:I7)</f>
        <v>17760000</v>
      </c>
      <c r="K7" s="3"/>
      <c r="L7" s="145">
        <v>45917</v>
      </c>
      <c r="M7" s="158">
        <v>0</v>
      </c>
      <c r="N7" s="149">
        <f>J7-M7</f>
        <v>17760000</v>
      </c>
      <c r="P7" s="81">
        <f>J7-M7-N7</f>
        <v>0</v>
      </c>
      <c r="R7" s="25"/>
      <c r="S7" s="25"/>
      <c r="T7" s="25"/>
      <c r="U7" s="25"/>
    </row>
    <row r="8" spans="1:21" s="4" customFormat="1" ht="15.75" x14ac:dyDescent="0.25">
      <c r="A8" s="24">
        <v>45876</v>
      </c>
      <c r="B8" s="223" t="s">
        <v>210</v>
      </c>
      <c r="C8" s="25" t="s">
        <v>37</v>
      </c>
      <c r="D8" s="80"/>
      <c r="E8" s="81"/>
      <c r="F8" s="80">
        <v>37170000</v>
      </c>
      <c r="G8" s="81"/>
      <c r="H8" s="82">
        <f t="shared" si="0"/>
        <v>37170000</v>
      </c>
      <c r="I8" s="26">
        <f>H8*0.11</f>
        <v>4088700</v>
      </c>
      <c r="J8" s="83">
        <f t="shared" si="1"/>
        <v>41258700</v>
      </c>
      <c r="K8" s="3"/>
      <c r="L8" s="145">
        <v>45917</v>
      </c>
      <c r="M8" s="158">
        <v>0</v>
      </c>
      <c r="N8" s="149">
        <f>J8-M8</f>
        <v>41258700</v>
      </c>
      <c r="P8" s="81">
        <f>J8-M8-N8</f>
        <v>0</v>
      </c>
      <c r="R8" s="188"/>
      <c r="S8" s="188"/>
      <c r="T8" s="188"/>
      <c r="U8" s="188"/>
    </row>
    <row r="9" spans="1:21" s="4" customFormat="1" ht="15.75" x14ac:dyDescent="0.25">
      <c r="A9" s="24">
        <v>45880</v>
      </c>
      <c r="B9" s="223" t="s">
        <v>211</v>
      </c>
      <c r="C9" s="25" t="s">
        <v>151</v>
      </c>
      <c r="D9" s="80"/>
      <c r="E9" s="81"/>
      <c r="F9" s="80">
        <v>25800000</v>
      </c>
      <c r="G9" s="81"/>
      <c r="H9" s="82">
        <f t="shared" ref="H9:H16" si="2">SUM(D9:G9)</f>
        <v>25800000</v>
      </c>
      <c r="I9" s="26">
        <f t="shared" ref="I9:I16" si="3">H9*0.11</f>
        <v>2838000</v>
      </c>
      <c r="J9" s="83">
        <f t="shared" ref="J9:J16" si="4">SUM(H9:I9)</f>
        <v>28638000</v>
      </c>
      <c r="K9" s="3"/>
      <c r="L9" s="145">
        <v>45917</v>
      </c>
      <c r="M9" s="158"/>
      <c r="N9" s="149">
        <f>J9-M9</f>
        <v>28638000</v>
      </c>
      <c r="P9" s="81">
        <f t="shared" ref="P9:P16" si="5">J9-M9-N9</f>
        <v>0</v>
      </c>
      <c r="R9" s="188"/>
      <c r="S9" s="188"/>
      <c r="T9" s="188"/>
      <c r="U9" s="188"/>
    </row>
    <row r="10" spans="1:21" s="4" customFormat="1" ht="15.75" x14ac:dyDescent="0.25">
      <c r="A10" s="24">
        <v>45894</v>
      </c>
      <c r="B10" s="223" t="s">
        <v>212</v>
      </c>
      <c r="C10" s="25" t="s">
        <v>55</v>
      </c>
      <c r="D10" s="80"/>
      <c r="E10" s="81"/>
      <c r="F10" s="80">
        <v>35664300</v>
      </c>
      <c r="G10" s="81"/>
      <c r="H10" s="82">
        <v>32130000</v>
      </c>
      <c r="I10" s="26">
        <f t="shared" si="3"/>
        <v>3534300</v>
      </c>
      <c r="J10" s="83">
        <f t="shared" si="4"/>
        <v>35664300</v>
      </c>
      <c r="K10" s="3"/>
      <c r="L10" s="145">
        <v>45931</v>
      </c>
      <c r="M10" s="158"/>
      <c r="N10" s="149">
        <v>35664300</v>
      </c>
      <c r="P10" s="81">
        <f t="shared" si="5"/>
        <v>0</v>
      </c>
      <c r="R10" s="188"/>
      <c r="S10" s="188"/>
      <c r="T10" s="188"/>
      <c r="U10" s="188"/>
    </row>
    <row r="11" spans="1:21" s="4" customFormat="1" ht="15.75" x14ac:dyDescent="0.25">
      <c r="A11" s="24">
        <v>45894</v>
      </c>
      <c r="B11" s="223" t="s">
        <v>213</v>
      </c>
      <c r="C11" s="25" t="s">
        <v>135</v>
      </c>
      <c r="D11" s="80"/>
      <c r="E11" s="81"/>
      <c r="F11" s="80">
        <v>166600000</v>
      </c>
      <c r="G11" s="81"/>
      <c r="H11" s="82">
        <f t="shared" si="2"/>
        <v>166600000</v>
      </c>
      <c r="I11" s="26">
        <f t="shared" si="3"/>
        <v>18326000</v>
      </c>
      <c r="J11" s="83">
        <f t="shared" si="4"/>
        <v>184926000</v>
      </c>
      <c r="K11" s="3"/>
      <c r="L11" s="145">
        <v>45931</v>
      </c>
      <c r="M11" s="158"/>
      <c r="N11" s="149">
        <f t="shared" ref="N11:N16" si="6">J11-M11</f>
        <v>184926000</v>
      </c>
      <c r="P11" s="81">
        <f t="shared" si="5"/>
        <v>0</v>
      </c>
      <c r="R11" s="188"/>
      <c r="S11" s="188"/>
      <c r="T11" s="188"/>
      <c r="U11" s="188"/>
    </row>
    <row r="12" spans="1:21" s="4" customFormat="1" ht="15.75" x14ac:dyDescent="0.25">
      <c r="A12" s="24">
        <v>45894</v>
      </c>
      <c r="B12" s="223" t="s">
        <v>214</v>
      </c>
      <c r="C12" s="25" t="s">
        <v>117</v>
      </c>
      <c r="D12" s="80"/>
      <c r="E12" s="81"/>
      <c r="F12" s="80">
        <v>22560000</v>
      </c>
      <c r="G12" s="81"/>
      <c r="H12" s="82">
        <f t="shared" si="2"/>
        <v>22560000</v>
      </c>
      <c r="I12" s="26">
        <f t="shared" si="3"/>
        <v>2481600</v>
      </c>
      <c r="J12" s="83">
        <f t="shared" si="4"/>
        <v>25041600</v>
      </c>
      <c r="K12" s="3"/>
      <c r="L12" s="145">
        <v>45895</v>
      </c>
      <c r="M12" s="158"/>
      <c r="N12" s="149">
        <f t="shared" si="6"/>
        <v>25041600</v>
      </c>
      <c r="P12" s="81">
        <f t="shared" si="5"/>
        <v>0</v>
      </c>
      <c r="R12" s="188"/>
      <c r="S12" s="188"/>
      <c r="T12" s="188"/>
      <c r="U12" s="188"/>
    </row>
    <row r="13" spans="1:21" s="4" customFormat="1" ht="15.75" x14ac:dyDescent="0.25">
      <c r="A13" s="24">
        <v>45896</v>
      </c>
      <c r="B13" s="223" t="s">
        <v>215</v>
      </c>
      <c r="C13" s="25" t="s">
        <v>38</v>
      </c>
      <c r="D13" s="80"/>
      <c r="E13" s="81"/>
      <c r="F13" s="80">
        <v>16800000</v>
      </c>
      <c r="G13" s="81"/>
      <c r="H13" s="82">
        <f t="shared" si="2"/>
        <v>16800000</v>
      </c>
      <c r="I13" s="26">
        <f t="shared" si="3"/>
        <v>1848000</v>
      </c>
      <c r="J13" s="83">
        <f t="shared" si="4"/>
        <v>18648000</v>
      </c>
      <c r="K13" s="3"/>
      <c r="L13" s="145">
        <v>45931</v>
      </c>
      <c r="M13" s="158"/>
      <c r="N13" s="149">
        <f t="shared" si="6"/>
        <v>18648000</v>
      </c>
      <c r="P13" s="81">
        <f t="shared" si="5"/>
        <v>0</v>
      </c>
      <c r="R13" s="188"/>
      <c r="S13" s="188"/>
      <c r="T13" s="188"/>
      <c r="U13" s="188"/>
    </row>
    <row r="14" spans="1:21" s="4" customFormat="1" ht="15.75" x14ac:dyDescent="0.25">
      <c r="A14" s="24">
        <v>45896</v>
      </c>
      <c r="B14" s="223" t="s">
        <v>216</v>
      </c>
      <c r="C14" s="25" t="s">
        <v>37</v>
      </c>
      <c r="D14" s="80"/>
      <c r="E14" s="81"/>
      <c r="F14" s="80">
        <v>375000000</v>
      </c>
      <c r="G14" s="81"/>
      <c r="H14" s="82">
        <f t="shared" si="2"/>
        <v>375000000</v>
      </c>
      <c r="I14" s="26">
        <f t="shared" si="3"/>
        <v>41250000</v>
      </c>
      <c r="J14" s="83">
        <f t="shared" si="4"/>
        <v>416250000</v>
      </c>
      <c r="K14" s="3"/>
      <c r="L14" s="145">
        <v>45931</v>
      </c>
      <c r="M14" s="158"/>
      <c r="N14" s="149">
        <f t="shared" si="6"/>
        <v>416250000</v>
      </c>
      <c r="P14" s="81">
        <f t="shared" si="5"/>
        <v>0</v>
      </c>
      <c r="R14" s="188"/>
      <c r="S14" s="188"/>
      <c r="T14" s="188"/>
      <c r="U14" s="188"/>
    </row>
    <row r="15" spans="1:21" s="4" customFormat="1" ht="15.75" x14ac:dyDescent="0.25">
      <c r="A15" s="24">
        <v>45894</v>
      </c>
      <c r="B15" s="223" t="s">
        <v>217</v>
      </c>
      <c r="C15" s="25" t="s">
        <v>59</v>
      </c>
      <c r="D15" s="80"/>
      <c r="E15" s="81"/>
      <c r="F15" s="80">
        <v>43000000</v>
      </c>
      <c r="G15" s="81"/>
      <c r="H15" s="82">
        <f t="shared" si="2"/>
        <v>43000000</v>
      </c>
      <c r="I15" s="26">
        <f t="shared" si="3"/>
        <v>4730000</v>
      </c>
      <c r="J15" s="83">
        <f t="shared" si="4"/>
        <v>47730000</v>
      </c>
      <c r="K15" s="3"/>
      <c r="L15" s="145">
        <v>45894</v>
      </c>
      <c r="M15" s="158"/>
      <c r="N15" s="149">
        <f t="shared" si="6"/>
        <v>47730000</v>
      </c>
      <c r="P15" s="81">
        <f t="shared" si="5"/>
        <v>0</v>
      </c>
      <c r="R15" s="188"/>
      <c r="S15" s="188"/>
      <c r="T15" s="188"/>
      <c r="U15" s="188"/>
    </row>
    <row r="16" spans="1:21" s="4" customFormat="1" ht="15.75" x14ac:dyDescent="0.25">
      <c r="A16" s="24">
        <v>45894</v>
      </c>
      <c r="B16" s="223" t="s">
        <v>218</v>
      </c>
      <c r="C16" s="25" t="s">
        <v>59</v>
      </c>
      <c r="D16" s="80"/>
      <c r="E16" s="81"/>
      <c r="F16" s="80">
        <v>39350000</v>
      </c>
      <c r="G16" s="81"/>
      <c r="H16" s="82">
        <f t="shared" si="2"/>
        <v>39350000</v>
      </c>
      <c r="I16" s="26">
        <f t="shared" si="3"/>
        <v>4328500</v>
      </c>
      <c r="J16" s="83">
        <f t="shared" si="4"/>
        <v>43678500</v>
      </c>
      <c r="K16" s="3"/>
      <c r="L16" s="145">
        <v>45894</v>
      </c>
      <c r="M16" s="158"/>
      <c r="N16" s="149">
        <f t="shared" si="6"/>
        <v>43678500</v>
      </c>
      <c r="P16" s="81">
        <f t="shared" si="5"/>
        <v>0</v>
      </c>
      <c r="R16" s="188"/>
      <c r="S16" s="188"/>
      <c r="T16" s="188"/>
      <c r="U16" s="188"/>
    </row>
    <row r="17" spans="1:21" s="4" customFormat="1" ht="15.75" x14ac:dyDescent="0.25">
      <c r="A17" s="24"/>
      <c r="B17" s="24"/>
      <c r="C17" s="25"/>
      <c r="D17" s="80"/>
      <c r="E17" s="81"/>
      <c r="F17" s="80"/>
      <c r="G17" s="81"/>
      <c r="H17" s="82">
        <f t="shared" si="0"/>
        <v>0</v>
      </c>
      <c r="I17" s="26">
        <f t="shared" ref="I17:I18" si="7">H17*0.11</f>
        <v>0</v>
      </c>
      <c r="J17" s="83">
        <f t="shared" si="1"/>
        <v>0</v>
      </c>
      <c r="K17" s="3"/>
      <c r="L17" s="34"/>
      <c r="M17" s="158">
        <v>0</v>
      </c>
      <c r="N17" s="149">
        <f t="shared" ref="N17:N18" si="8">J17</f>
        <v>0</v>
      </c>
      <c r="P17" s="81">
        <f t="shared" ref="P17:P18" si="9">J17-M17-N17</f>
        <v>0</v>
      </c>
      <c r="R17" s="25"/>
      <c r="S17" s="189"/>
      <c r="T17" s="34"/>
      <c r="U17" s="81" t="e">
        <f>#REF!</f>
        <v>#REF!</v>
      </c>
    </row>
    <row r="18" spans="1:21" s="4" customFormat="1" ht="15.75" x14ac:dyDescent="0.25">
      <c r="A18" s="31"/>
      <c r="B18" s="31"/>
      <c r="C18" s="32"/>
      <c r="D18" s="85"/>
      <c r="E18" s="86"/>
      <c r="F18" s="85"/>
      <c r="G18" s="86"/>
      <c r="H18" s="87">
        <f t="shared" si="0"/>
        <v>0</v>
      </c>
      <c r="I18" s="26">
        <f t="shared" si="7"/>
        <v>0</v>
      </c>
      <c r="J18" s="88">
        <f t="shared" si="1"/>
        <v>0</v>
      </c>
      <c r="K18" s="3"/>
      <c r="L18" s="145"/>
      <c r="M18" s="158">
        <v>0</v>
      </c>
      <c r="N18" s="149">
        <f t="shared" si="8"/>
        <v>0</v>
      </c>
      <c r="P18" s="81">
        <f t="shared" si="9"/>
        <v>0</v>
      </c>
      <c r="R18" s="32"/>
      <c r="S18" s="32"/>
      <c r="T18" s="32"/>
      <c r="U18" s="32"/>
    </row>
    <row r="19" spans="1:21" ht="21.75" customHeight="1" x14ac:dyDescent="0.25">
      <c r="A19" s="45"/>
      <c r="B19" s="45"/>
      <c r="C19" s="36" t="s">
        <v>0</v>
      </c>
      <c r="D19" s="44">
        <f t="shared" ref="D19:J19" si="10">SUM(D7:D18)</f>
        <v>0</v>
      </c>
      <c r="E19" s="44">
        <f t="shared" si="10"/>
        <v>0</v>
      </c>
      <c r="F19" s="44">
        <f t="shared" si="10"/>
        <v>777944300</v>
      </c>
      <c r="G19" s="44">
        <f t="shared" si="10"/>
        <v>0</v>
      </c>
      <c r="H19" s="44">
        <f t="shared" si="10"/>
        <v>774410000</v>
      </c>
      <c r="I19" s="44">
        <f t="shared" si="10"/>
        <v>85185100</v>
      </c>
      <c r="J19" s="44">
        <f t="shared" si="10"/>
        <v>859595100</v>
      </c>
      <c r="L19" s="131"/>
      <c r="M19" s="133">
        <f>SUM(M7:M18)</f>
        <v>0</v>
      </c>
      <c r="N19" s="134">
        <f>SUM(N7:N18)</f>
        <v>859595100</v>
      </c>
      <c r="P19" s="134">
        <f>SUM(P7:P18)</f>
        <v>0</v>
      </c>
      <c r="R19" s="134">
        <f>SUM(R7:R18)</f>
        <v>0</v>
      </c>
      <c r="S19" s="134">
        <f>SUM(S7:S18)</f>
        <v>0</v>
      </c>
      <c r="T19" s="134"/>
      <c r="U19" s="134" t="e">
        <f>SUM(U7:U18)</f>
        <v>#REF!</v>
      </c>
    </row>
    <row r="20" spans="1:21" x14ac:dyDescent="0.25">
      <c r="U20" s="138" t="e">
        <f>#REF!-U19</f>
        <v>#REF!</v>
      </c>
    </row>
    <row r="21" spans="1:21" x14ac:dyDescent="0.25">
      <c r="D21" s="245"/>
      <c r="H21" s="137"/>
    </row>
    <row r="22" spans="1:21" x14ac:dyDescent="0.25">
      <c r="H22" s="137"/>
    </row>
    <row r="25" spans="1:21" x14ac:dyDescent="0.25">
      <c r="M25" s="136"/>
    </row>
    <row r="26" spans="1:21" x14ac:dyDescent="0.25">
      <c r="M26" s="136"/>
    </row>
    <row r="27" spans="1:21" x14ac:dyDescent="0.25">
      <c r="M27" s="136"/>
      <c r="N27" s="136"/>
    </row>
    <row r="28" spans="1:21" x14ac:dyDescent="0.25">
      <c r="M28" s="136"/>
    </row>
    <row r="29" spans="1:21" x14ac:dyDescent="0.25">
      <c r="M29" s="136"/>
    </row>
    <row r="30" spans="1:21" x14ac:dyDescent="0.25">
      <c r="M30" s="136"/>
    </row>
    <row r="31" spans="1:21" x14ac:dyDescent="0.25">
      <c r="M31" s="253"/>
    </row>
    <row r="32" spans="1:21" x14ac:dyDescent="0.25">
      <c r="M32" s="253"/>
    </row>
    <row r="33" spans="10:14" x14ac:dyDescent="0.25">
      <c r="M33" s="136"/>
    </row>
    <row r="34" spans="10:14" x14ac:dyDescent="0.25">
      <c r="M34" s="253"/>
    </row>
    <row r="35" spans="10:14" x14ac:dyDescent="0.25">
      <c r="L35" s="254"/>
      <c r="M35" s="255"/>
    </row>
    <row r="37" spans="10:14" x14ac:dyDescent="0.25">
      <c r="M37" s="136"/>
    </row>
    <row r="38" spans="10:14" x14ac:dyDescent="0.25">
      <c r="M38" s="136"/>
    </row>
    <row r="39" spans="10:14" x14ac:dyDescent="0.25">
      <c r="M39" s="136"/>
    </row>
    <row r="40" spans="10:14" x14ac:dyDescent="0.25">
      <c r="L40" s="136"/>
      <c r="M40" s="136"/>
      <c r="N40" s="253"/>
    </row>
    <row r="41" spans="10:14" x14ac:dyDescent="0.25">
      <c r="J41" s="136"/>
    </row>
    <row r="42" spans="10:14" x14ac:dyDescent="0.25">
      <c r="J42" s="136"/>
    </row>
    <row r="43" spans="10:14" x14ac:dyDescent="0.25">
      <c r="J43" s="253"/>
    </row>
  </sheetData>
  <autoFilter ref="A5:J19" xr:uid="{00000000-0001-0000-0800-000000000000}">
    <filterColumn colId="3" showButton="0">
      <iconFilter iconSet="3Arrows"/>
    </filterColumn>
    <filterColumn colId="4" showButton="0"/>
    <filterColumn colId="5" showButton="0"/>
    <filterColumn colId="6" showButton="0"/>
    <filterColumn colId="7" showButton="0"/>
    <filterColumn colId="8" showButton="0"/>
  </autoFilter>
  <mergeCells count="8">
    <mergeCell ref="M5:M6"/>
    <mergeCell ref="N5:N6"/>
    <mergeCell ref="P5:P6"/>
    <mergeCell ref="A5:A6"/>
    <mergeCell ref="B5:B6"/>
    <mergeCell ref="C5:C6"/>
    <mergeCell ref="D5:J5"/>
    <mergeCell ref="L5:L6"/>
  </mergeCells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7"/>
  <sheetViews>
    <sheetView workbookViewId="0">
      <pane ySplit="6" topLeftCell="A7" activePane="bottomLeft" state="frozen"/>
      <selection pane="bottomLeft" activeCell="H17" sqref="H17:H27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6.5703125" customWidth="1"/>
    <col min="4" max="4" width="15.42578125" customWidth="1"/>
    <col min="5" max="5" width="14.28515625" customWidth="1"/>
    <col min="6" max="6" width="14.42578125" customWidth="1"/>
    <col min="7" max="7" width="14.1406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3.85546875" customWidth="1"/>
    <col min="12" max="12" width="14" customWidth="1"/>
    <col min="13" max="13" width="13" customWidth="1"/>
    <col min="14" max="14" width="14.85546875" customWidth="1"/>
    <col min="15" max="15" width="3.85546875" customWidth="1"/>
    <col min="16" max="16" width="14.42578125" customWidth="1"/>
    <col min="17" max="17" width="10" bestFit="1" customWidth="1"/>
    <col min="18" max="18" width="32.85546875" bestFit="1" customWidth="1"/>
    <col min="19" max="19" width="11" bestFit="1" customWidth="1"/>
    <col min="21" max="21" width="10.5703125" bestFit="1" customWidth="1"/>
  </cols>
  <sheetData>
    <row r="1" spans="1:21" ht="19.5" x14ac:dyDescent="0.25">
      <c r="A1" s="2" t="s">
        <v>170</v>
      </c>
      <c r="B1" s="2"/>
      <c r="C1" s="4"/>
      <c r="D1" s="13"/>
      <c r="E1" s="6"/>
      <c r="F1" s="11"/>
      <c r="G1" s="10"/>
    </row>
    <row r="2" spans="1:21" x14ac:dyDescent="0.25">
      <c r="A2" s="4"/>
      <c r="B2" s="4"/>
      <c r="C2" s="4"/>
      <c r="D2" s="13"/>
      <c r="E2" s="6"/>
      <c r="F2" s="4"/>
      <c r="G2" s="10"/>
    </row>
    <row r="3" spans="1:21" x14ac:dyDescent="0.25">
      <c r="A3" s="12" t="s">
        <v>3</v>
      </c>
      <c r="B3" s="4"/>
      <c r="C3" s="4"/>
      <c r="D3" s="13"/>
      <c r="E3" s="6"/>
      <c r="F3" s="4"/>
      <c r="G3" s="10"/>
    </row>
    <row r="4" spans="1:21" x14ac:dyDescent="0.25">
      <c r="B4" s="4"/>
      <c r="C4" s="4"/>
      <c r="D4" s="13"/>
      <c r="E4" s="6"/>
      <c r="F4" s="4"/>
      <c r="G4" s="10"/>
    </row>
    <row r="5" spans="1:21" ht="22.5" customHeight="1" x14ac:dyDescent="0.25">
      <c r="A5" s="288" t="s">
        <v>2</v>
      </c>
      <c r="B5" s="290" t="s">
        <v>4</v>
      </c>
      <c r="C5" s="288" t="s">
        <v>32</v>
      </c>
      <c r="D5" s="282" t="s">
        <v>1</v>
      </c>
      <c r="E5" s="282"/>
      <c r="F5" s="282"/>
      <c r="G5" s="282"/>
      <c r="H5" s="282"/>
      <c r="I5" s="282"/>
      <c r="J5" s="282"/>
      <c r="L5" s="286" t="s">
        <v>25</v>
      </c>
      <c r="M5" s="286" t="s">
        <v>29</v>
      </c>
      <c r="N5" s="286" t="s">
        <v>26</v>
      </c>
      <c r="P5" s="286" t="s">
        <v>31</v>
      </c>
    </row>
    <row r="6" spans="1:21" ht="15.75" x14ac:dyDescent="0.25">
      <c r="A6" s="289"/>
      <c r="B6" s="291"/>
      <c r="C6" s="289"/>
      <c r="D6" s="38" t="s">
        <v>6</v>
      </c>
      <c r="E6" s="38" t="s">
        <v>5</v>
      </c>
      <c r="F6" s="39" t="s">
        <v>7</v>
      </c>
      <c r="G6" s="39" t="s">
        <v>8</v>
      </c>
      <c r="H6" s="39" t="s">
        <v>0</v>
      </c>
      <c r="I6" s="40" t="s">
        <v>3</v>
      </c>
      <c r="J6" s="40" t="s">
        <v>9</v>
      </c>
      <c r="L6" s="287"/>
      <c r="M6" s="287"/>
      <c r="N6" s="287"/>
      <c r="P6" s="286"/>
    </row>
    <row r="7" spans="1:21" s="4" customFormat="1" ht="15.75" x14ac:dyDescent="0.25">
      <c r="A7" s="20">
        <v>45904</v>
      </c>
      <c r="B7" s="224" t="s">
        <v>219</v>
      </c>
      <c r="C7" s="21" t="s">
        <v>56</v>
      </c>
      <c r="D7" s="66"/>
      <c r="E7" s="68"/>
      <c r="F7" s="66">
        <v>8500000</v>
      </c>
      <c r="G7" s="68"/>
      <c r="H7" s="69">
        <f>SUM(D7:G7)</f>
        <v>8500000</v>
      </c>
      <c r="I7" s="66">
        <f>H7*0.11</f>
        <v>935000</v>
      </c>
      <c r="J7" s="66">
        <f>SUM(H7:I7)</f>
        <v>9435000</v>
      </c>
      <c r="K7" s="3"/>
      <c r="L7" s="34">
        <v>45904</v>
      </c>
      <c r="M7" s="126"/>
      <c r="N7" s="81">
        <f>J7-M7</f>
        <v>9435000</v>
      </c>
      <c r="P7" s="139">
        <f>J7-M7-N7</f>
        <v>0</v>
      </c>
      <c r="R7" s="21"/>
      <c r="S7" s="21"/>
      <c r="T7" s="21"/>
      <c r="U7" s="21"/>
    </row>
    <row r="8" spans="1:21" s="4" customFormat="1" ht="15.75" x14ac:dyDescent="0.25">
      <c r="A8" s="24">
        <v>45912</v>
      </c>
      <c r="B8" s="223" t="s">
        <v>220</v>
      </c>
      <c r="C8" s="25" t="s">
        <v>58</v>
      </c>
      <c r="D8" s="70"/>
      <c r="E8" s="71">
        <v>52046500</v>
      </c>
      <c r="F8" s="70"/>
      <c r="G8" s="71"/>
      <c r="H8" s="72">
        <f t="shared" ref="H8:H18" si="0">SUM(D8:G8)</f>
        <v>52046500</v>
      </c>
      <c r="I8" s="70">
        <f>H8*0.11</f>
        <v>5725115</v>
      </c>
      <c r="J8" s="70">
        <f t="shared" ref="J8:J18" si="1">SUM(H8:I8)</f>
        <v>57771615</v>
      </c>
      <c r="K8" s="3"/>
      <c r="L8" s="34">
        <v>45912</v>
      </c>
      <c r="M8" s="95"/>
      <c r="N8" s="81">
        <f>J8-M8</f>
        <v>57771615</v>
      </c>
      <c r="P8" s="139">
        <f>J8-M8-N8</f>
        <v>0</v>
      </c>
      <c r="R8" s="25"/>
      <c r="S8" s="25"/>
      <c r="T8" s="25"/>
      <c r="U8" s="25"/>
    </row>
    <row r="9" spans="1:21" s="4" customFormat="1" ht="15.75" x14ac:dyDescent="0.25">
      <c r="A9" s="24">
        <v>45917</v>
      </c>
      <c r="B9" s="223" t="s">
        <v>221</v>
      </c>
      <c r="C9" s="25" t="s">
        <v>38</v>
      </c>
      <c r="D9" s="70"/>
      <c r="E9" s="71"/>
      <c r="F9" s="70">
        <v>35000000</v>
      </c>
      <c r="G9" s="71"/>
      <c r="H9" s="72">
        <f t="shared" si="0"/>
        <v>35000000</v>
      </c>
      <c r="I9" s="70">
        <f t="shared" ref="I9:I18" si="2">H9*0.11</f>
        <v>3850000</v>
      </c>
      <c r="J9" s="70">
        <f t="shared" si="1"/>
        <v>38850000</v>
      </c>
      <c r="K9" s="3"/>
      <c r="L9" s="229">
        <v>45945</v>
      </c>
      <c r="M9" s="227"/>
      <c r="N9" s="81">
        <f>J9-M9</f>
        <v>38850000</v>
      </c>
      <c r="P9" s="139">
        <f t="shared" ref="P9:P18" si="3">J9-M9-N9</f>
        <v>0</v>
      </c>
      <c r="R9" s="25"/>
      <c r="S9" s="25"/>
      <c r="T9" s="25"/>
      <c r="U9" s="25"/>
    </row>
    <row r="10" spans="1:21" s="4" customFormat="1" ht="15.75" x14ac:dyDescent="0.25">
      <c r="A10" s="24">
        <v>45917</v>
      </c>
      <c r="B10" s="24" t="s">
        <v>222</v>
      </c>
      <c r="C10" s="25" t="s">
        <v>223</v>
      </c>
      <c r="D10" s="70"/>
      <c r="E10" s="71"/>
      <c r="F10" s="71">
        <v>30518875</v>
      </c>
      <c r="G10" s="71"/>
      <c r="H10" s="72">
        <f t="shared" si="0"/>
        <v>30518875</v>
      </c>
      <c r="I10" s="70">
        <f>H10*0.11</f>
        <v>3357076.25</v>
      </c>
      <c r="J10" s="70">
        <f t="shared" si="1"/>
        <v>33875951.25</v>
      </c>
      <c r="K10" s="281"/>
      <c r="L10" s="34">
        <v>45917</v>
      </c>
      <c r="M10" s="95"/>
      <c r="N10" s="81">
        <f t="shared" ref="N10" si="4">J10-M10</f>
        <v>33875951.25</v>
      </c>
      <c r="P10" s="139">
        <f t="shared" si="3"/>
        <v>0</v>
      </c>
      <c r="R10" s="25"/>
      <c r="S10" s="25"/>
      <c r="T10" s="25"/>
      <c r="U10" s="25"/>
    </row>
    <row r="11" spans="1:21" s="4" customFormat="1" ht="15.75" x14ac:dyDescent="0.25">
      <c r="A11" s="24">
        <v>45915</v>
      </c>
      <c r="B11" s="223" t="s">
        <v>224</v>
      </c>
      <c r="C11" s="25" t="s">
        <v>55</v>
      </c>
      <c r="D11" s="70"/>
      <c r="E11" s="71"/>
      <c r="F11" s="70">
        <v>32130000</v>
      </c>
      <c r="G11" s="71"/>
      <c r="H11" s="72">
        <f t="shared" ref="H11:H16" si="5">SUM(D11:G11)</f>
        <v>32130000</v>
      </c>
      <c r="I11" s="70">
        <f>H11*0.11</f>
        <v>3534300</v>
      </c>
      <c r="J11" s="70">
        <f t="shared" ref="J11:J16" si="6">SUM(H11:I11)</f>
        <v>35664300</v>
      </c>
      <c r="K11" s="3"/>
      <c r="L11" s="34">
        <v>45945</v>
      </c>
      <c r="M11" s="95"/>
      <c r="N11" s="81">
        <f>J11-M11</f>
        <v>35664300</v>
      </c>
      <c r="P11" s="139">
        <f t="shared" si="3"/>
        <v>0</v>
      </c>
      <c r="R11" s="25"/>
      <c r="S11" s="25"/>
      <c r="T11" s="25"/>
      <c r="U11" s="25"/>
    </row>
    <row r="12" spans="1:21" s="4" customFormat="1" ht="15.75" x14ac:dyDescent="0.25">
      <c r="A12" s="24">
        <v>45915</v>
      </c>
      <c r="B12" s="24" t="s">
        <v>225</v>
      </c>
      <c r="C12" s="25" t="s">
        <v>37</v>
      </c>
      <c r="D12" s="70"/>
      <c r="E12" s="71"/>
      <c r="F12" s="70">
        <v>13870000</v>
      </c>
      <c r="G12" s="71"/>
      <c r="H12" s="72">
        <f t="shared" si="5"/>
        <v>13870000</v>
      </c>
      <c r="I12" s="70">
        <f t="shared" ref="I12:I16" si="7">H12*0.11</f>
        <v>1525700</v>
      </c>
      <c r="J12" s="70">
        <f t="shared" si="6"/>
        <v>15395700</v>
      </c>
      <c r="K12" s="3"/>
      <c r="L12" s="34">
        <v>45945</v>
      </c>
      <c r="M12" s="95"/>
      <c r="N12" s="81">
        <f>J12-M12</f>
        <v>15395700</v>
      </c>
      <c r="P12" s="139">
        <f t="shared" si="3"/>
        <v>0</v>
      </c>
      <c r="R12" s="25"/>
      <c r="S12" s="25"/>
      <c r="T12" s="25"/>
      <c r="U12" s="25"/>
    </row>
    <row r="13" spans="1:21" s="4" customFormat="1" ht="15.75" x14ac:dyDescent="0.25">
      <c r="A13" s="24">
        <v>45915</v>
      </c>
      <c r="B13" s="24" t="s">
        <v>226</v>
      </c>
      <c r="C13" s="25" t="s">
        <v>37</v>
      </c>
      <c r="D13" s="70"/>
      <c r="E13" s="71"/>
      <c r="F13" s="70">
        <v>9900000</v>
      </c>
      <c r="G13" s="71"/>
      <c r="H13" s="72">
        <f t="shared" si="5"/>
        <v>9900000</v>
      </c>
      <c r="I13" s="70">
        <f t="shared" si="7"/>
        <v>1089000</v>
      </c>
      <c r="J13" s="70">
        <f t="shared" si="6"/>
        <v>10989000</v>
      </c>
      <c r="K13" s="3"/>
      <c r="L13" s="34">
        <v>45945</v>
      </c>
      <c r="M13" s="95"/>
      <c r="N13" s="81">
        <f>J13-M13</f>
        <v>10989000</v>
      </c>
      <c r="P13" s="139">
        <f t="shared" si="3"/>
        <v>0</v>
      </c>
      <c r="R13" s="25"/>
      <c r="S13" s="25"/>
      <c r="T13" s="25"/>
      <c r="U13" s="25"/>
    </row>
    <row r="14" spans="1:21" s="4" customFormat="1" ht="15.75" x14ac:dyDescent="0.25">
      <c r="A14" s="24">
        <v>45923</v>
      </c>
      <c r="B14" s="24" t="s">
        <v>228</v>
      </c>
      <c r="C14" s="25" t="s">
        <v>229</v>
      </c>
      <c r="D14" s="70">
        <v>26600000</v>
      </c>
      <c r="E14" s="71"/>
      <c r="F14" s="70"/>
      <c r="G14" s="71"/>
      <c r="H14" s="72">
        <f t="shared" si="5"/>
        <v>26600000</v>
      </c>
      <c r="I14" s="70">
        <v>0</v>
      </c>
      <c r="J14" s="70">
        <f t="shared" si="6"/>
        <v>26600000</v>
      </c>
      <c r="K14" s="3"/>
      <c r="L14" s="34">
        <v>45931</v>
      </c>
      <c r="M14" s="95"/>
      <c r="N14" s="81">
        <f>J14-M14</f>
        <v>26600000</v>
      </c>
      <c r="P14" s="139">
        <f t="shared" si="3"/>
        <v>0</v>
      </c>
      <c r="R14" s="25"/>
      <c r="S14" s="25"/>
      <c r="T14" s="25"/>
      <c r="U14" s="25"/>
    </row>
    <row r="15" spans="1:21" s="4" customFormat="1" ht="15.75" x14ac:dyDescent="0.25">
      <c r="A15" s="24">
        <v>45923</v>
      </c>
      <c r="B15" s="24" t="s">
        <v>230</v>
      </c>
      <c r="C15" s="25" t="s">
        <v>231</v>
      </c>
      <c r="D15" s="70">
        <v>119000000</v>
      </c>
      <c r="E15" s="71"/>
      <c r="F15" s="70"/>
      <c r="G15" s="71"/>
      <c r="H15" s="72">
        <f t="shared" si="5"/>
        <v>119000000</v>
      </c>
      <c r="I15" s="70">
        <f t="shared" si="7"/>
        <v>13090000</v>
      </c>
      <c r="J15" s="70">
        <f t="shared" si="6"/>
        <v>132090000</v>
      </c>
      <c r="K15" s="3"/>
      <c r="L15" s="34"/>
      <c r="M15" s="95"/>
      <c r="N15" s="81">
        <v>0</v>
      </c>
      <c r="P15" s="139">
        <f t="shared" si="3"/>
        <v>132090000</v>
      </c>
      <c r="R15" s="25"/>
      <c r="S15" s="25"/>
      <c r="T15" s="25"/>
      <c r="U15" s="25"/>
    </row>
    <row r="16" spans="1:21" s="4" customFormat="1" ht="15.75" x14ac:dyDescent="0.25">
      <c r="A16" s="24">
        <v>45930</v>
      </c>
      <c r="B16" s="24"/>
      <c r="C16" s="25" t="s">
        <v>232</v>
      </c>
      <c r="D16" s="70"/>
      <c r="E16" s="71"/>
      <c r="F16" s="70">
        <v>7700000</v>
      </c>
      <c r="G16" s="71"/>
      <c r="H16" s="72">
        <f t="shared" si="5"/>
        <v>7700000</v>
      </c>
      <c r="I16" s="70">
        <f t="shared" si="7"/>
        <v>847000</v>
      </c>
      <c r="J16" s="70">
        <f t="shared" si="6"/>
        <v>8547000</v>
      </c>
      <c r="K16" s="3"/>
      <c r="L16" s="34">
        <v>45930</v>
      </c>
      <c r="M16" s="95"/>
      <c r="N16" s="81">
        <f>J16-M16</f>
        <v>8547000</v>
      </c>
      <c r="P16" s="139">
        <f t="shared" si="3"/>
        <v>0</v>
      </c>
      <c r="R16" s="25"/>
      <c r="S16" s="25"/>
      <c r="T16" s="25"/>
      <c r="U16" s="25"/>
    </row>
    <row r="17" spans="1:21" s="4" customFormat="1" ht="15.75" x14ac:dyDescent="0.25">
      <c r="A17" s="24"/>
      <c r="B17" s="24"/>
      <c r="C17" s="25"/>
      <c r="D17" s="70"/>
      <c r="E17" s="71"/>
      <c r="F17" s="70"/>
      <c r="G17" s="71"/>
      <c r="H17" s="72">
        <f t="shared" si="0"/>
        <v>0</v>
      </c>
      <c r="I17" s="70">
        <f t="shared" si="2"/>
        <v>0</v>
      </c>
      <c r="J17" s="70">
        <f t="shared" si="1"/>
        <v>0</v>
      </c>
      <c r="K17" s="3"/>
      <c r="L17" s="145"/>
      <c r="M17" s="158"/>
      <c r="N17" s="81">
        <v>0</v>
      </c>
      <c r="P17" s="139">
        <f t="shared" si="3"/>
        <v>0</v>
      </c>
      <c r="R17" s="25"/>
      <c r="S17" s="189"/>
      <c r="T17" s="34"/>
      <c r="U17" s="81"/>
    </row>
    <row r="18" spans="1:21" s="4" customFormat="1" ht="15.75" x14ac:dyDescent="0.25">
      <c r="A18" s="31"/>
      <c r="B18" s="31"/>
      <c r="C18" s="32"/>
      <c r="D18" s="74"/>
      <c r="E18" s="75"/>
      <c r="F18" s="74"/>
      <c r="G18" s="75"/>
      <c r="H18" s="76">
        <f t="shared" si="0"/>
        <v>0</v>
      </c>
      <c r="I18" s="70">
        <f t="shared" si="2"/>
        <v>0</v>
      </c>
      <c r="J18" s="74">
        <f t="shared" si="1"/>
        <v>0</v>
      </c>
      <c r="K18" s="3"/>
      <c r="L18" s="145"/>
      <c r="M18" s="158">
        <v>0</v>
      </c>
      <c r="N18" s="81">
        <v>0</v>
      </c>
      <c r="P18" s="139">
        <f t="shared" si="3"/>
        <v>0</v>
      </c>
      <c r="R18" s="32"/>
      <c r="S18" s="32"/>
      <c r="T18" s="32"/>
      <c r="U18" s="32"/>
    </row>
    <row r="19" spans="1:21" ht="21.75" customHeight="1" x14ac:dyDescent="0.25">
      <c r="A19" s="45"/>
      <c r="B19" s="45"/>
      <c r="C19" s="36" t="s">
        <v>0</v>
      </c>
      <c r="D19" s="90">
        <f t="shared" ref="D19:J19" si="8">SUM(D7:D18)</f>
        <v>145600000</v>
      </c>
      <c r="E19" s="90">
        <f t="shared" si="8"/>
        <v>52046500</v>
      </c>
      <c r="F19" s="90">
        <f t="shared" si="8"/>
        <v>137618875</v>
      </c>
      <c r="G19" s="90">
        <f t="shared" si="8"/>
        <v>0</v>
      </c>
      <c r="H19" s="44">
        <f t="shared" si="8"/>
        <v>335265375</v>
      </c>
      <c r="I19" s="44">
        <f t="shared" si="8"/>
        <v>33953191.25</v>
      </c>
      <c r="J19" s="44">
        <f t="shared" si="8"/>
        <v>369218566.25</v>
      </c>
      <c r="L19" s="131"/>
      <c r="M19" s="134">
        <f>SUM(M7:M18)</f>
        <v>0</v>
      </c>
      <c r="N19" s="134">
        <f>SUM(N7:N18)</f>
        <v>237128566.25</v>
      </c>
      <c r="O19" s="138"/>
      <c r="P19" s="134">
        <f>SUM(P7:P18)</f>
        <v>132090000</v>
      </c>
      <c r="R19" s="131"/>
      <c r="S19" s="131"/>
      <c r="T19" s="131"/>
      <c r="U19" s="134">
        <f>SUM(U7:U18)</f>
        <v>0</v>
      </c>
    </row>
    <row r="20" spans="1:21" x14ac:dyDescent="0.25">
      <c r="H20" s="18"/>
      <c r="U20" s="138" t="e">
        <f>#REF!-U19</f>
        <v>#REF!</v>
      </c>
    </row>
    <row r="21" spans="1:21" x14ac:dyDescent="0.25">
      <c r="H21" s="17"/>
    </row>
    <row r="22" spans="1:21" x14ac:dyDescent="0.25">
      <c r="J22" s="135"/>
    </row>
    <row r="23" spans="1:21" x14ac:dyDescent="0.25">
      <c r="A23" t="s">
        <v>40</v>
      </c>
      <c r="B23" t="s">
        <v>41</v>
      </c>
      <c r="C23" t="s">
        <v>42</v>
      </c>
      <c r="J23" s="135"/>
    </row>
    <row r="24" spans="1:21" x14ac:dyDescent="0.25">
      <c r="B24" t="s">
        <v>43</v>
      </c>
      <c r="C24" t="s">
        <v>39</v>
      </c>
    </row>
    <row r="26" spans="1:21" x14ac:dyDescent="0.25">
      <c r="A26" t="s">
        <v>44</v>
      </c>
      <c r="B26" t="s">
        <v>45</v>
      </c>
      <c r="C26" t="s">
        <v>46</v>
      </c>
    </row>
    <row r="27" spans="1:21" x14ac:dyDescent="0.25">
      <c r="B27" t="s">
        <v>43</v>
      </c>
      <c r="C27" t="s">
        <v>38</v>
      </c>
    </row>
  </sheetData>
  <autoFilter ref="A5:J19" xr:uid="{00000000-0001-0000-09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8">
    <mergeCell ref="N5:N6"/>
    <mergeCell ref="P5:P6"/>
    <mergeCell ref="M5:M6"/>
    <mergeCell ref="A5:A6"/>
    <mergeCell ref="B5:B6"/>
    <mergeCell ref="C5:C6"/>
    <mergeCell ref="D5:J5"/>
    <mergeCell ref="L5:L6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3"/>
  <sheetViews>
    <sheetView workbookViewId="0">
      <pane ySplit="5" topLeftCell="A6" activePane="bottomLeft" state="frozen"/>
      <selection pane="bottomLeft" activeCell="N19" sqref="N19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6.5703125" customWidth="1"/>
    <col min="4" max="4" width="15.42578125" customWidth="1"/>
    <col min="5" max="6" width="15.28515625" bestFit="1" customWidth="1"/>
    <col min="7" max="7" width="14.1406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5.7109375" customWidth="1"/>
    <col min="12" max="12" width="14" customWidth="1"/>
    <col min="13" max="13" width="12.85546875" customWidth="1"/>
    <col min="14" max="14" width="13.85546875" customWidth="1"/>
    <col min="15" max="15" width="4.7109375" customWidth="1"/>
    <col min="16" max="16" width="14.28515625" bestFit="1" customWidth="1"/>
    <col min="17" max="17" width="11.5703125" bestFit="1" customWidth="1"/>
    <col min="18" max="18" width="25.85546875" bestFit="1" customWidth="1"/>
    <col min="19" max="19" width="11" bestFit="1" customWidth="1"/>
    <col min="21" max="21" width="10" bestFit="1" customWidth="1"/>
  </cols>
  <sheetData>
    <row r="1" spans="1:21" ht="19.5" x14ac:dyDescent="0.25">
      <c r="A1" s="2" t="s">
        <v>171</v>
      </c>
      <c r="B1" s="2"/>
      <c r="C1" s="4"/>
      <c r="D1" s="13"/>
      <c r="E1" s="6"/>
      <c r="F1" s="11"/>
      <c r="G1" s="10"/>
    </row>
    <row r="2" spans="1:21" x14ac:dyDescent="0.25">
      <c r="A2" s="4"/>
      <c r="B2" s="4"/>
      <c r="C2" s="4"/>
      <c r="D2" s="13"/>
      <c r="E2" s="6"/>
      <c r="F2" s="4"/>
      <c r="G2" s="10"/>
    </row>
    <row r="3" spans="1:21" x14ac:dyDescent="0.25">
      <c r="A3" s="12" t="s">
        <v>3</v>
      </c>
      <c r="B3" s="4"/>
      <c r="C3" s="4"/>
      <c r="D3" s="13"/>
      <c r="E3" s="6"/>
      <c r="F3" s="4"/>
      <c r="G3" s="10"/>
    </row>
    <row r="4" spans="1:21" ht="22.5" customHeight="1" x14ac:dyDescent="0.25">
      <c r="A4" s="288" t="s">
        <v>2</v>
      </c>
      <c r="B4" s="290" t="s">
        <v>4</v>
      </c>
      <c r="C4" s="288" t="s">
        <v>34</v>
      </c>
      <c r="D4" s="282" t="s">
        <v>1</v>
      </c>
      <c r="E4" s="282"/>
      <c r="F4" s="282"/>
      <c r="G4" s="282"/>
      <c r="H4" s="282"/>
      <c r="I4" s="282"/>
      <c r="J4" s="282"/>
      <c r="L4" s="286" t="s">
        <v>25</v>
      </c>
      <c r="M4" s="286" t="s">
        <v>28</v>
      </c>
      <c r="N4" s="286" t="s">
        <v>26</v>
      </c>
      <c r="P4" s="286" t="s">
        <v>27</v>
      </c>
    </row>
    <row r="5" spans="1:21" ht="15.75" x14ac:dyDescent="0.25">
      <c r="A5" s="289"/>
      <c r="B5" s="291"/>
      <c r="C5" s="289"/>
      <c r="D5" s="38" t="s">
        <v>6</v>
      </c>
      <c r="E5" s="38" t="s">
        <v>5</v>
      </c>
      <c r="F5" s="39" t="s">
        <v>7</v>
      </c>
      <c r="G5" s="39" t="s">
        <v>8</v>
      </c>
      <c r="H5" s="39" t="s">
        <v>0</v>
      </c>
      <c r="I5" s="40" t="s">
        <v>3</v>
      </c>
      <c r="J5" s="40" t="s">
        <v>9</v>
      </c>
      <c r="L5" s="286"/>
      <c r="M5" s="286"/>
      <c r="N5" s="286"/>
      <c r="P5" s="286"/>
    </row>
    <row r="6" spans="1:21" s="4" customFormat="1" ht="15.75" x14ac:dyDescent="0.25">
      <c r="A6" s="20">
        <v>45932</v>
      </c>
      <c r="B6" s="224" t="s">
        <v>227</v>
      </c>
      <c r="C6" s="21" t="s">
        <v>38</v>
      </c>
      <c r="D6" s="91"/>
      <c r="E6" s="92"/>
      <c r="F6" s="91">
        <v>9150000</v>
      </c>
      <c r="G6" s="92"/>
      <c r="H6" s="93">
        <f>SUM(D6:G6)</f>
        <v>9150000</v>
      </c>
      <c r="I6" s="91">
        <f>H6*0.11</f>
        <v>1006500</v>
      </c>
      <c r="J6" s="46">
        <f>SUM(H6:I6)</f>
        <v>10156500</v>
      </c>
      <c r="K6" s="3"/>
      <c r="L6" s="167">
        <v>45978</v>
      </c>
      <c r="M6" s="151">
        <v>0</v>
      </c>
      <c r="N6" s="212">
        <f t="shared" ref="N6:N18" si="0">J6-M6</f>
        <v>10156500</v>
      </c>
      <c r="P6" s="78">
        <f>J6-M6-N6</f>
        <v>0</v>
      </c>
      <c r="R6" s="126"/>
      <c r="S6" s="126"/>
      <c r="T6" s="126"/>
      <c r="U6" s="126"/>
    </row>
    <row r="7" spans="1:21" s="4" customFormat="1" ht="15.75" x14ac:dyDescent="0.25">
      <c r="A7" s="24">
        <v>45933</v>
      </c>
      <c r="B7" s="223" t="s">
        <v>233</v>
      </c>
      <c r="C7" s="25" t="s">
        <v>199</v>
      </c>
      <c r="D7" s="94"/>
      <c r="E7" s="95"/>
      <c r="F7" s="94">
        <v>4000000</v>
      </c>
      <c r="G7" s="95"/>
      <c r="H7" s="96">
        <f t="shared" ref="H7:H27" si="1">SUM(D7:G7)</f>
        <v>4000000</v>
      </c>
      <c r="I7" s="94">
        <f>H7*0.11</f>
        <v>440000</v>
      </c>
      <c r="J7" s="48">
        <f t="shared" ref="J7:J27" si="2">SUM(H7:I7)</f>
        <v>4440000</v>
      </c>
      <c r="K7" s="3"/>
      <c r="L7" s="34">
        <v>45933</v>
      </c>
      <c r="M7" s="98">
        <f>D7*0.02</f>
        <v>0</v>
      </c>
      <c r="N7" s="147">
        <f t="shared" si="0"/>
        <v>4440000</v>
      </c>
      <c r="P7" s="95">
        <f>J7-M7-N7</f>
        <v>0</v>
      </c>
      <c r="R7" s="128"/>
      <c r="S7" s="128"/>
      <c r="T7" s="128"/>
      <c r="U7" s="128"/>
    </row>
    <row r="8" spans="1:21" s="4" customFormat="1" ht="15.75" x14ac:dyDescent="0.25">
      <c r="A8" s="24">
        <v>45931</v>
      </c>
      <c r="B8" s="24"/>
      <c r="C8" s="25" t="s">
        <v>57</v>
      </c>
      <c r="D8" s="94">
        <v>1200000</v>
      </c>
      <c r="E8" s="95"/>
      <c r="F8" s="94"/>
      <c r="G8" s="95"/>
      <c r="H8" s="96">
        <f t="shared" si="1"/>
        <v>1200000</v>
      </c>
      <c r="I8" s="94">
        <v>0</v>
      </c>
      <c r="J8" s="48">
        <f t="shared" si="2"/>
        <v>1200000</v>
      </c>
      <c r="K8" s="3"/>
      <c r="L8" s="168">
        <v>45945</v>
      </c>
      <c r="M8" s="169">
        <v>0</v>
      </c>
      <c r="N8" s="147">
        <f t="shared" si="0"/>
        <v>1200000</v>
      </c>
      <c r="P8" s="95">
        <f t="shared" ref="P8:P24" si="3">J8-M8-N8</f>
        <v>0</v>
      </c>
      <c r="R8" s="128"/>
      <c r="S8" s="128"/>
      <c r="T8" s="128"/>
      <c r="U8" s="128"/>
    </row>
    <row r="9" spans="1:21" s="4" customFormat="1" ht="15.75" x14ac:dyDescent="0.25">
      <c r="A9" s="24">
        <v>45943</v>
      </c>
      <c r="B9" s="223" t="s">
        <v>234</v>
      </c>
      <c r="C9" s="25" t="s">
        <v>55</v>
      </c>
      <c r="D9" s="193"/>
      <c r="E9" s="95"/>
      <c r="F9" s="94">
        <v>369750000</v>
      </c>
      <c r="G9" s="95"/>
      <c r="H9" s="96">
        <f t="shared" si="1"/>
        <v>369750000</v>
      </c>
      <c r="I9" s="94">
        <f>H9*0.11</f>
        <v>40672500</v>
      </c>
      <c r="J9" s="48">
        <f t="shared" si="2"/>
        <v>410422500</v>
      </c>
      <c r="K9" s="3"/>
      <c r="L9" s="154">
        <v>45978</v>
      </c>
      <c r="M9" s="171">
        <v>0</v>
      </c>
      <c r="N9" s="147">
        <f t="shared" si="0"/>
        <v>410422500</v>
      </c>
      <c r="P9" s="95">
        <f t="shared" si="3"/>
        <v>0</v>
      </c>
      <c r="R9" s="25"/>
      <c r="S9" s="189"/>
      <c r="T9" s="34"/>
      <c r="U9" s="81">
        <f>M9</f>
        <v>0</v>
      </c>
    </row>
    <row r="10" spans="1:21" s="4" customFormat="1" ht="15.75" x14ac:dyDescent="0.25">
      <c r="A10" s="24">
        <v>45943</v>
      </c>
      <c r="B10" s="223" t="s">
        <v>235</v>
      </c>
      <c r="C10" s="25" t="s">
        <v>63</v>
      </c>
      <c r="D10" s="94"/>
      <c r="E10" s="95"/>
      <c r="F10" s="94">
        <v>33075000</v>
      </c>
      <c r="G10" s="95"/>
      <c r="H10" s="96">
        <f t="shared" si="1"/>
        <v>33075000</v>
      </c>
      <c r="I10" s="94">
        <f>H10*0.11</f>
        <v>3638250</v>
      </c>
      <c r="J10" s="48">
        <f t="shared" si="2"/>
        <v>36713250</v>
      </c>
      <c r="K10" s="3"/>
      <c r="L10" s="154">
        <v>45989</v>
      </c>
      <c r="M10" s="183"/>
      <c r="N10" s="147">
        <f t="shared" si="0"/>
        <v>36713250</v>
      </c>
      <c r="P10" s="95">
        <f t="shared" si="3"/>
        <v>0</v>
      </c>
      <c r="R10" s="128"/>
      <c r="S10" s="128"/>
      <c r="T10" s="128"/>
      <c r="U10" s="128"/>
    </row>
    <row r="11" spans="1:21" s="4" customFormat="1" ht="15.75" x14ac:dyDescent="0.25">
      <c r="A11" s="24">
        <v>45943</v>
      </c>
      <c r="B11" s="223" t="s">
        <v>236</v>
      </c>
      <c r="C11" s="25" t="s">
        <v>117</v>
      </c>
      <c r="D11" s="94"/>
      <c r="E11" s="95"/>
      <c r="F11" s="94">
        <v>13200000</v>
      </c>
      <c r="G11" s="95"/>
      <c r="H11" s="96">
        <f t="shared" si="1"/>
        <v>13200000</v>
      </c>
      <c r="I11" s="94">
        <f t="shared" ref="I11:I27" si="4">H11*0.11</f>
        <v>1452000</v>
      </c>
      <c r="J11" s="48">
        <f t="shared" si="2"/>
        <v>14652000</v>
      </c>
      <c r="K11" s="3"/>
      <c r="L11" s="154">
        <v>45943</v>
      </c>
      <c r="M11" s="127"/>
      <c r="N11" s="147">
        <f t="shared" si="0"/>
        <v>14652000</v>
      </c>
      <c r="P11" s="95">
        <f t="shared" si="3"/>
        <v>0</v>
      </c>
      <c r="R11" s="128"/>
      <c r="S11" s="128"/>
      <c r="T11" s="128"/>
      <c r="U11" s="128"/>
    </row>
    <row r="12" spans="1:21" s="4" customFormat="1" ht="15.75" x14ac:dyDescent="0.25">
      <c r="A12" s="205">
        <v>45943</v>
      </c>
      <c r="B12" s="230" t="s">
        <v>237</v>
      </c>
      <c r="C12" s="206" t="s">
        <v>117</v>
      </c>
      <c r="D12" s="221"/>
      <c r="E12" s="220"/>
      <c r="F12" s="132">
        <v>2200000</v>
      </c>
      <c r="G12" s="132"/>
      <c r="H12" s="96">
        <f t="shared" si="1"/>
        <v>2200000</v>
      </c>
      <c r="I12" s="94">
        <f t="shared" si="4"/>
        <v>242000</v>
      </c>
      <c r="J12" s="221">
        <f t="shared" si="2"/>
        <v>2442000</v>
      </c>
      <c r="K12" s="3"/>
      <c r="L12" s="145">
        <v>45943</v>
      </c>
      <c r="M12" s="150"/>
      <c r="N12" s="147">
        <f t="shared" si="0"/>
        <v>2442000</v>
      </c>
      <c r="P12" s="95">
        <f t="shared" si="3"/>
        <v>0</v>
      </c>
      <c r="Q12" s="140"/>
      <c r="R12" s="128"/>
      <c r="S12" s="128"/>
      <c r="T12" s="128"/>
      <c r="U12" s="128"/>
    </row>
    <row r="13" spans="1:21" s="4" customFormat="1" ht="15.75" x14ac:dyDescent="0.25">
      <c r="A13" s="205">
        <v>45944</v>
      </c>
      <c r="B13" s="230" t="s">
        <v>238</v>
      </c>
      <c r="C13" s="206" t="s">
        <v>37</v>
      </c>
      <c r="D13" s="221"/>
      <c r="E13" s="220"/>
      <c r="F13" s="132">
        <v>15600000</v>
      </c>
      <c r="G13" s="132"/>
      <c r="H13" s="96">
        <f t="shared" ref="H13:H16" si="5">SUM(D13:G13)</f>
        <v>15600000</v>
      </c>
      <c r="I13" s="94">
        <f t="shared" ref="I13:I16" si="6">H13*0.11</f>
        <v>1716000</v>
      </c>
      <c r="J13" s="221">
        <f t="shared" ref="J13:J16" si="7">SUM(H13:I13)</f>
        <v>17316000</v>
      </c>
      <c r="K13" s="3"/>
      <c r="L13" s="145">
        <v>45978</v>
      </c>
      <c r="M13" s="150"/>
      <c r="N13" s="147">
        <f t="shared" si="0"/>
        <v>17316000</v>
      </c>
      <c r="P13" s="95">
        <f t="shared" si="3"/>
        <v>0</v>
      </c>
      <c r="Q13" s="140"/>
      <c r="R13" s="128"/>
      <c r="S13" s="128"/>
      <c r="T13" s="128"/>
      <c r="U13" s="128"/>
    </row>
    <row r="14" spans="1:21" s="4" customFormat="1" ht="15.75" x14ac:dyDescent="0.25">
      <c r="A14" s="205">
        <v>45946</v>
      </c>
      <c r="B14" s="230" t="s">
        <v>239</v>
      </c>
      <c r="C14" s="206" t="s">
        <v>38</v>
      </c>
      <c r="D14" s="221"/>
      <c r="E14" s="220"/>
      <c r="F14" s="132">
        <v>34925000</v>
      </c>
      <c r="G14" s="132"/>
      <c r="H14" s="96">
        <f t="shared" si="5"/>
        <v>34925000</v>
      </c>
      <c r="I14" s="94">
        <f t="shared" si="6"/>
        <v>3841750</v>
      </c>
      <c r="J14" s="221">
        <f t="shared" si="7"/>
        <v>38766750</v>
      </c>
      <c r="K14" s="3"/>
      <c r="L14" s="145">
        <v>45989</v>
      </c>
      <c r="M14" s="150"/>
      <c r="N14" s="147">
        <f t="shared" si="0"/>
        <v>38766750</v>
      </c>
      <c r="P14" s="95">
        <f t="shared" si="3"/>
        <v>0</v>
      </c>
      <c r="Q14" s="140"/>
      <c r="R14" s="128"/>
      <c r="S14" s="128"/>
      <c r="T14" s="128"/>
      <c r="U14" s="128"/>
    </row>
    <row r="15" spans="1:21" s="4" customFormat="1" ht="15.75" x14ac:dyDescent="0.25">
      <c r="A15" s="205">
        <v>45961</v>
      </c>
      <c r="B15" s="230" t="s">
        <v>240</v>
      </c>
      <c r="C15" s="206" t="s">
        <v>241</v>
      </c>
      <c r="D15" s="221"/>
      <c r="E15" s="220"/>
      <c r="F15" s="132">
        <v>2940000</v>
      </c>
      <c r="G15" s="132"/>
      <c r="H15" s="96">
        <f t="shared" si="5"/>
        <v>2940000</v>
      </c>
      <c r="I15" s="94">
        <f>H15*0.11</f>
        <v>323400</v>
      </c>
      <c r="J15" s="221">
        <f t="shared" si="7"/>
        <v>3263400</v>
      </c>
      <c r="K15" s="3"/>
      <c r="L15" s="145">
        <v>45961</v>
      </c>
      <c r="M15" s="150"/>
      <c r="N15" s="147">
        <f t="shared" si="0"/>
        <v>3263400</v>
      </c>
      <c r="P15" s="95">
        <f t="shared" si="3"/>
        <v>0</v>
      </c>
      <c r="Q15" s="140"/>
      <c r="R15" s="128"/>
      <c r="S15" s="128"/>
      <c r="T15" s="128"/>
      <c r="U15" s="128"/>
    </row>
    <row r="16" spans="1:21" s="4" customFormat="1" ht="15.75" x14ac:dyDescent="0.25">
      <c r="A16" s="205">
        <v>45961</v>
      </c>
      <c r="B16" s="230" t="s">
        <v>242</v>
      </c>
      <c r="C16" s="206" t="s">
        <v>63</v>
      </c>
      <c r="D16" s="221"/>
      <c r="E16" s="220"/>
      <c r="F16" s="132">
        <v>28212500</v>
      </c>
      <c r="G16" s="132"/>
      <c r="H16" s="96">
        <f t="shared" si="5"/>
        <v>28212500</v>
      </c>
      <c r="I16" s="94">
        <f t="shared" si="6"/>
        <v>3103375</v>
      </c>
      <c r="J16" s="221">
        <f t="shared" si="7"/>
        <v>31315875</v>
      </c>
      <c r="K16" s="3"/>
      <c r="L16" s="145">
        <v>45989</v>
      </c>
      <c r="M16" s="150"/>
      <c r="N16" s="147">
        <f t="shared" si="0"/>
        <v>31315875</v>
      </c>
      <c r="P16" s="95">
        <f t="shared" si="3"/>
        <v>0</v>
      </c>
      <c r="Q16" s="140"/>
      <c r="R16" s="128"/>
      <c r="S16" s="128"/>
      <c r="T16" s="128"/>
      <c r="U16" s="128"/>
    </row>
    <row r="17" spans="1:21" s="4" customFormat="1" ht="15.75" x14ac:dyDescent="0.25">
      <c r="A17" s="24">
        <v>45961</v>
      </c>
      <c r="B17" s="223" t="s">
        <v>243</v>
      </c>
      <c r="C17" s="25" t="s">
        <v>37</v>
      </c>
      <c r="D17" s="153"/>
      <c r="E17" s="153"/>
      <c r="F17" s="95">
        <v>400000</v>
      </c>
      <c r="G17" s="95"/>
      <c r="H17" s="96">
        <f t="shared" si="1"/>
        <v>400000</v>
      </c>
      <c r="I17" s="94">
        <f t="shared" si="4"/>
        <v>44000</v>
      </c>
      <c r="J17" s="221">
        <f t="shared" si="2"/>
        <v>444000</v>
      </c>
      <c r="K17" s="3"/>
      <c r="L17" s="145">
        <v>45989</v>
      </c>
      <c r="M17" s="150">
        <v>0</v>
      </c>
      <c r="N17" s="147">
        <f t="shared" si="0"/>
        <v>444000</v>
      </c>
      <c r="P17" s="95">
        <f t="shared" si="3"/>
        <v>0</v>
      </c>
      <c r="Q17" s="140"/>
      <c r="R17" s="128"/>
      <c r="S17" s="128"/>
      <c r="T17" s="128"/>
      <c r="U17" s="128"/>
    </row>
    <row r="18" spans="1:21" s="4" customFormat="1" ht="15.75" x14ac:dyDescent="0.25">
      <c r="A18" s="24">
        <v>45961</v>
      </c>
      <c r="B18" s="223" t="s">
        <v>244</v>
      </c>
      <c r="C18" s="25" t="s">
        <v>37</v>
      </c>
      <c r="D18" s="153"/>
      <c r="E18" s="153"/>
      <c r="F18" s="95">
        <v>14000000</v>
      </c>
      <c r="G18" s="95"/>
      <c r="H18" s="96">
        <f t="shared" si="1"/>
        <v>14000000</v>
      </c>
      <c r="I18" s="94">
        <f t="shared" si="4"/>
        <v>1540000</v>
      </c>
      <c r="J18" s="221">
        <f t="shared" si="2"/>
        <v>15540000</v>
      </c>
      <c r="K18" s="3"/>
      <c r="L18" s="145">
        <v>45989</v>
      </c>
      <c r="M18" s="150"/>
      <c r="N18" s="147">
        <f t="shared" si="0"/>
        <v>15540000</v>
      </c>
      <c r="P18" s="95">
        <f t="shared" si="3"/>
        <v>0</v>
      </c>
      <c r="Q18" s="140"/>
      <c r="R18" s="128"/>
      <c r="S18" s="128"/>
      <c r="T18" s="128"/>
      <c r="U18" s="128"/>
    </row>
    <row r="19" spans="1:21" s="4" customFormat="1" ht="15.75" x14ac:dyDescent="0.25">
      <c r="A19" s="24"/>
      <c r="B19" s="24"/>
      <c r="C19" s="25"/>
      <c r="D19" s="153"/>
      <c r="E19" s="153"/>
      <c r="F19" s="95"/>
      <c r="G19" s="95"/>
      <c r="H19" s="96">
        <f t="shared" si="1"/>
        <v>0</v>
      </c>
      <c r="I19" s="94">
        <f t="shared" si="4"/>
        <v>0</v>
      </c>
      <c r="J19" s="221">
        <f t="shared" si="2"/>
        <v>0</v>
      </c>
      <c r="K19" s="3"/>
      <c r="L19" s="145"/>
      <c r="M19" s="150"/>
      <c r="N19" s="147">
        <v>0</v>
      </c>
      <c r="P19" s="95">
        <f t="shared" si="3"/>
        <v>0</v>
      </c>
      <c r="Q19" s="140"/>
      <c r="R19" s="128"/>
      <c r="S19" s="128"/>
      <c r="T19" s="128"/>
      <c r="U19" s="128"/>
    </row>
    <row r="20" spans="1:21" s="4" customFormat="1" ht="15.75" x14ac:dyDescent="0.25">
      <c r="A20" s="24"/>
      <c r="B20" s="223"/>
      <c r="C20" s="25"/>
      <c r="D20" s="98"/>
      <c r="E20" s="153"/>
      <c r="F20" s="95"/>
      <c r="G20" s="95"/>
      <c r="H20" s="96">
        <f t="shared" ref="H20:H23" si="8">SUM(D20:G20)</f>
        <v>0</v>
      </c>
      <c r="I20" s="94">
        <f t="shared" si="4"/>
        <v>0</v>
      </c>
      <c r="J20" s="221">
        <f t="shared" ref="J20:J23" si="9">SUM(H20:I20)</f>
        <v>0</v>
      </c>
      <c r="K20" s="3"/>
      <c r="L20" s="145"/>
      <c r="M20" s="150"/>
      <c r="N20" s="147">
        <v>0</v>
      </c>
      <c r="P20" s="95">
        <f t="shared" si="3"/>
        <v>0</v>
      </c>
      <c r="Q20" s="140"/>
      <c r="R20" s="128"/>
      <c r="S20" s="128"/>
      <c r="T20" s="128"/>
      <c r="U20" s="128"/>
    </row>
    <row r="21" spans="1:21" s="4" customFormat="1" ht="15.75" x14ac:dyDescent="0.25">
      <c r="A21" s="24"/>
      <c r="B21" s="223"/>
      <c r="C21" s="25"/>
      <c r="D21" s="153"/>
      <c r="E21" s="153"/>
      <c r="F21" s="95"/>
      <c r="G21" s="95"/>
      <c r="H21" s="96">
        <f t="shared" si="8"/>
        <v>0</v>
      </c>
      <c r="I21" s="94">
        <f t="shared" ref="I21:I23" si="10">H21*0.11</f>
        <v>0</v>
      </c>
      <c r="J21" s="221">
        <f t="shared" si="9"/>
        <v>0</v>
      </c>
      <c r="K21" s="3"/>
      <c r="L21" s="145"/>
      <c r="M21" s="150"/>
      <c r="N21" s="147">
        <v>0</v>
      </c>
      <c r="P21" s="95">
        <f t="shared" si="3"/>
        <v>0</v>
      </c>
      <c r="Q21" s="140"/>
      <c r="R21" s="128"/>
      <c r="S21" s="128"/>
      <c r="T21" s="128"/>
      <c r="U21" s="128"/>
    </row>
    <row r="22" spans="1:21" s="4" customFormat="1" ht="15.75" x14ac:dyDescent="0.25">
      <c r="A22" s="24"/>
      <c r="B22" s="24"/>
      <c r="C22" s="25"/>
      <c r="D22" s="153"/>
      <c r="E22" s="98"/>
      <c r="F22" s="95"/>
      <c r="G22" s="95"/>
      <c r="H22" s="96">
        <f t="shared" si="8"/>
        <v>0</v>
      </c>
      <c r="I22" s="94">
        <f t="shared" si="10"/>
        <v>0</v>
      </c>
      <c r="J22" s="221">
        <f t="shared" si="9"/>
        <v>0</v>
      </c>
      <c r="K22" s="3"/>
      <c r="L22" s="145"/>
      <c r="M22" s="150"/>
      <c r="N22" s="147">
        <f t="shared" ref="N22" si="11">J22-M22</f>
        <v>0</v>
      </c>
      <c r="P22" s="95">
        <f t="shared" si="3"/>
        <v>0</v>
      </c>
      <c r="Q22" s="140"/>
      <c r="R22" s="128"/>
      <c r="S22" s="128"/>
      <c r="T22" s="128"/>
      <c r="U22" s="128"/>
    </row>
    <row r="23" spans="1:21" s="4" customFormat="1" ht="15.75" x14ac:dyDescent="0.25">
      <c r="A23" s="24"/>
      <c r="B23" s="24"/>
      <c r="C23" s="25"/>
      <c r="D23" s="153"/>
      <c r="E23" s="153"/>
      <c r="F23" s="95"/>
      <c r="G23" s="95"/>
      <c r="H23" s="96">
        <f t="shared" si="8"/>
        <v>0</v>
      </c>
      <c r="I23" s="94">
        <f t="shared" si="10"/>
        <v>0</v>
      </c>
      <c r="J23" s="221">
        <f t="shared" si="9"/>
        <v>0</v>
      </c>
      <c r="K23" s="3"/>
      <c r="L23" s="145"/>
      <c r="M23" s="150"/>
      <c r="N23" s="147">
        <f>J23-M23</f>
        <v>0</v>
      </c>
      <c r="P23" s="95">
        <f t="shared" si="3"/>
        <v>0</v>
      </c>
      <c r="Q23" s="140"/>
      <c r="R23" s="128"/>
      <c r="S23" s="128"/>
      <c r="T23" s="128"/>
      <c r="U23" s="128"/>
    </row>
    <row r="24" spans="1:21" s="4" customFormat="1" ht="15.75" x14ac:dyDescent="0.25">
      <c r="A24" s="24"/>
      <c r="B24" s="24"/>
      <c r="C24" s="25"/>
      <c r="D24" s="97"/>
      <c r="E24" s="98"/>
      <c r="F24" s="97"/>
      <c r="G24" s="95"/>
      <c r="H24" s="96">
        <f t="shared" si="1"/>
        <v>0</v>
      </c>
      <c r="I24" s="94">
        <f t="shared" si="4"/>
        <v>0</v>
      </c>
      <c r="J24" s="221">
        <f t="shared" si="2"/>
        <v>0</v>
      </c>
      <c r="K24" s="3"/>
      <c r="L24" s="145"/>
      <c r="M24" s="148"/>
      <c r="N24" s="170">
        <f t="shared" ref="N24" si="12">J24-M24</f>
        <v>0</v>
      </c>
      <c r="P24" s="95">
        <f t="shared" si="3"/>
        <v>0</v>
      </c>
      <c r="R24" s="128"/>
      <c r="S24" s="128"/>
      <c r="T24" s="128"/>
      <c r="U24" s="128"/>
    </row>
    <row r="25" spans="1:21" s="4" customFormat="1" ht="15.75" x14ac:dyDescent="0.25">
      <c r="A25" s="24"/>
      <c r="B25" s="223"/>
      <c r="C25" s="25"/>
      <c r="D25" s="194"/>
      <c r="E25" s="153"/>
      <c r="F25" s="97"/>
      <c r="G25" s="95"/>
      <c r="H25" s="96">
        <f t="shared" si="1"/>
        <v>0</v>
      </c>
      <c r="I25" s="94">
        <f t="shared" si="4"/>
        <v>0</v>
      </c>
      <c r="J25" s="221">
        <f t="shared" si="2"/>
        <v>0</v>
      </c>
      <c r="K25" s="3"/>
      <c r="L25" s="145"/>
      <c r="M25" s="150"/>
      <c r="N25" s="147">
        <f>J25-M25</f>
        <v>0</v>
      </c>
      <c r="P25" s="132">
        <f>J25-M25-N25</f>
        <v>0</v>
      </c>
      <c r="Q25" s="140"/>
      <c r="R25" s="128"/>
      <c r="S25" s="128"/>
      <c r="T25" s="128"/>
      <c r="U25" s="128"/>
    </row>
    <row r="26" spans="1:21" s="4" customFormat="1" ht="15.75" x14ac:dyDescent="0.25">
      <c r="A26" s="24"/>
      <c r="B26" s="24"/>
      <c r="C26" s="25"/>
      <c r="D26" s="97"/>
      <c r="E26" s="98"/>
      <c r="F26" s="97"/>
      <c r="G26" s="95"/>
      <c r="H26" s="96">
        <f t="shared" si="1"/>
        <v>0</v>
      </c>
      <c r="I26" s="94">
        <f t="shared" si="4"/>
        <v>0</v>
      </c>
      <c r="J26" s="221">
        <f t="shared" si="2"/>
        <v>0</v>
      </c>
      <c r="K26" s="3"/>
      <c r="L26" s="145"/>
      <c r="M26" s="153"/>
      <c r="N26" s="147">
        <f>J26-M26</f>
        <v>0</v>
      </c>
      <c r="P26" s="132">
        <f>J26-M26-N26</f>
        <v>0</v>
      </c>
      <c r="R26" s="128"/>
      <c r="S26" s="128"/>
      <c r="T26" s="128"/>
      <c r="U26" s="128"/>
    </row>
    <row r="27" spans="1:21" s="4" customFormat="1" ht="15.75" x14ac:dyDescent="0.25">
      <c r="A27" s="31"/>
      <c r="B27" s="31"/>
      <c r="C27" s="32"/>
      <c r="D27" s="99"/>
      <c r="E27" s="100"/>
      <c r="F27" s="99"/>
      <c r="G27" s="100"/>
      <c r="H27" s="96">
        <f t="shared" si="1"/>
        <v>0</v>
      </c>
      <c r="I27" s="94">
        <f t="shared" si="4"/>
        <v>0</v>
      </c>
      <c r="J27" s="221">
        <f t="shared" si="2"/>
        <v>0</v>
      </c>
      <c r="K27" s="3"/>
      <c r="L27" s="154"/>
      <c r="M27" s="155">
        <v>0</v>
      </c>
      <c r="N27" s="147">
        <f t="shared" ref="N27" si="13">J27-M27</f>
        <v>0</v>
      </c>
      <c r="P27" s="132"/>
      <c r="R27" s="178"/>
      <c r="S27" s="178"/>
      <c r="T27" s="178"/>
      <c r="U27" s="178"/>
    </row>
    <row r="28" spans="1:21" ht="21.75" customHeight="1" x14ac:dyDescent="0.25">
      <c r="A28" s="45"/>
      <c r="B28" s="45"/>
      <c r="C28" s="36" t="s">
        <v>0</v>
      </c>
      <c r="D28" s="44">
        <f t="shared" ref="D28:J28" si="14">SUM(D6:D27)</f>
        <v>1200000</v>
      </c>
      <c r="E28" s="44">
        <f t="shared" si="14"/>
        <v>0</v>
      </c>
      <c r="F28" s="44">
        <f t="shared" si="14"/>
        <v>527452500</v>
      </c>
      <c r="G28" s="89">
        <f t="shared" si="14"/>
        <v>0</v>
      </c>
      <c r="H28" s="131">
        <f t="shared" si="14"/>
        <v>528652500</v>
      </c>
      <c r="I28" s="131">
        <f t="shared" si="14"/>
        <v>58019775</v>
      </c>
      <c r="J28" s="131">
        <f t="shared" si="14"/>
        <v>586672275</v>
      </c>
      <c r="L28" s="131"/>
      <c r="M28" s="134">
        <f>SUM(M6:M27)</f>
        <v>0</v>
      </c>
      <c r="N28" s="131">
        <f>SUM(N6:N27)</f>
        <v>586672275</v>
      </c>
      <c r="P28" s="131">
        <f>SUM(P6:P27)</f>
        <v>0</v>
      </c>
      <c r="R28" s="131"/>
      <c r="S28" s="131"/>
      <c r="T28" s="131"/>
      <c r="U28" s="134">
        <f>SUM(U6:U27)</f>
        <v>0</v>
      </c>
    </row>
    <row r="29" spans="1:21" x14ac:dyDescent="0.25">
      <c r="H29" s="18"/>
      <c r="U29" s="138">
        <f>M28-U28</f>
        <v>0</v>
      </c>
    </row>
    <row r="30" spans="1:21" x14ac:dyDescent="0.25">
      <c r="H30" s="17"/>
    </row>
    <row r="31" spans="1:21" x14ac:dyDescent="0.25">
      <c r="N31" s="138"/>
      <c r="P31" s="138"/>
    </row>
    <row r="33" spans="16:16" x14ac:dyDescent="0.25">
      <c r="P33" s="138"/>
    </row>
  </sheetData>
  <autoFilter ref="P1:P30" xr:uid="{00000000-0009-0000-0000-00000A000000}"/>
  <mergeCells count="8">
    <mergeCell ref="M4:M5"/>
    <mergeCell ref="N4:N5"/>
    <mergeCell ref="P4:P5"/>
    <mergeCell ref="A4:A5"/>
    <mergeCell ref="B4:B5"/>
    <mergeCell ref="C4:C5"/>
    <mergeCell ref="D4:J4"/>
    <mergeCell ref="L4:L5"/>
  </mergeCells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2" sqref="N12"/>
    </sheetView>
  </sheetViews>
  <sheetFormatPr defaultRowHeight="15" x14ac:dyDescent="0.25"/>
  <cols>
    <col min="1" max="1" width="12.28515625" customWidth="1"/>
    <col min="2" max="2" width="18.7109375" bestFit="1" customWidth="1"/>
    <col min="3" max="3" width="36.5703125" customWidth="1"/>
    <col min="4" max="4" width="15.42578125" customWidth="1"/>
    <col min="5" max="5" width="14.28515625" customWidth="1"/>
    <col min="6" max="6" width="14.42578125" customWidth="1"/>
    <col min="7" max="7" width="14.140625" customWidth="1"/>
    <col min="8" max="8" width="16.85546875" bestFit="1" customWidth="1"/>
    <col min="9" max="9" width="13.42578125" bestFit="1" customWidth="1"/>
    <col min="10" max="10" width="14.85546875" bestFit="1" customWidth="1"/>
    <col min="11" max="11" width="4.140625" customWidth="1"/>
    <col min="12" max="13" width="14.140625" customWidth="1"/>
    <col min="14" max="14" width="14.85546875" customWidth="1"/>
    <col min="15" max="15" width="4.28515625" customWidth="1"/>
    <col min="16" max="16" width="14.5703125" bestFit="1" customWidth="1"/>
    <col min="18" max="18" width="32.140625" bestFit="1" customWidth="1"/>
    <col min="19" max="19" width="11.140625" bestFit="1" customWidth="1"/>
    <col min="21" max="21" width="10" bestFit="1" customWidth="1"/>
  </cols>
  <sheetData>
    <row r="1" spans="1:21" ht="19.5" x14ac:dyDescent="0.25">
      <c r="A1" s="2" t="s">
        <v>172</v>
      </c>
      <c r="B1" s="2"/>
      <c r="C1" s="4"/>
      <c r="D1" s="13"/>
      <c r="E1" s="6"/>
      <c r="F1" s="11"/>
      <c r="G1" s="10"/>
    </row>
    <row r="2" spans="1:21" x14ac:dyDescent="0.25">
      <c r="A2" s="4"/>
      <c r="B2" s="4"/>
      <c r="C2" s="4"/>
      <c r="D2" s="13"/>
      <c r="E2" s="6"/>
      <c r="F2" s="4"/>
      <c r="G2" s="10"/>
    </row>
    <row r="3" spans="1:21" x14ac:dyDescent="0.25">
      <c r="A3" s="12" t="s">
        <v>3</v>
      </c>
      <c r="B3" s="4"/>
      <c r="C3" s="4"/>
      <c r="D3" s="13"/>
      <c r="E3" s="6"/>
      <c r="F3" s="4"/>
      <c r="G3" s="10"/>
    </row>
    <row r="4" spans="1:21" ht="22.5" customHeight="1" x14ac:dyDescent="0.25">
      <c r="A4" s="288" t="s">
        <v>2</v>
      </c>
      <c r="B4" s="290" t="s">
        <v>4</v>
      </c>
      <c r="C4" s="288" t="s">
        <v>32</v>
      </c>
      <c r="D4" s="282" t="s">
        <v>1</v>
      </c>
      <c r="E4" s="282"/>
      <c r="F4" s="282"/>
      <c r="G4" s="282"/>
      <c r="H4" s="282"/>
      <c r="I4" s="282"/>
      <c r="J4" s="282"/>
      <c r="L4" s="286" t="s">
        <v>25</v>
      </c>
      <c r="M4" s="286" t="s">
        <v>28</v>
      </c>
      <c r="N4" s="286" t="s">
        <v>26</v>
      </c>
      <c r="P4" s="286" t="s">
        <v>31</v>
      </c>
    </row>
    <row r="5" spans="1:21" ht="15.75" x14ac:dyDescent="0.25">
      <c r="A5" s="289"/>
      <c r="B5" s="291"/>
      <c r="C5" s="289"/>
      <c r="D5" s="38" t="s">
        <v>6</v>
      </c>
      <c r="E5" s="38" t="s">
        <v>5</v>
      </c>
      <c r="F5" s="39" t="s">
        <v>7</v>
      </c>
      <c r="G5" s="39" t="s">
        <v>8</v>
      </c>
      <c r="H5" s="39" t="s">
        <v>0</v>
      </c>
      <c r="I5" s="40" t="s">
        <v>3</v>
      </c>
      <c r="J5" s="40" t="s">
        <v>9</v>
      </c>
      <c r="L5" s="286"/>
      <c r="M5" s="286"/>
      <c r="N5" s="286"/>
      <c r="P5" s="286"/>
    </row>
    <row r="6" spans="1:21" s="4" customFormat="1" ht="15.75" x14ac:dyDescent="0.25">
      <c r="A6" s="20">
        <v>45972</v>
      </c>
      <c r="B6" s="20" t="s">
        <v>245</v>
      </c>
      <c r="C6" s="21" t="s">
        <v>56</v>
      </c>
      <c r="D6" s="101"/>
      <c r="E6" s="105"/>
      <c r="F6" s="106">
        <v>425000</v>
      </c>
      <c r="G6" s="107"/>
      <c r="H6" s="246">
        <f>SUM(D6:G6)</f>
        <v>425000</v>
      </c>
      <c r="I6" s="101">
        <f>H6*0.11</f>
        <v>46750</v>
      </c>
      <c r="J6" s="102">
        <f t="shared" ref="J6:J28" si="0">H6+I6</f>
        <v>471750</v>
      </c>
      <c r="K6" s="3"/>
      <c r="L6" s="145">
        <v>45972</v>
      </c>
      <c r="M6" s="151">
        <f>D6*0.02</f>
        <v>0</v>
      </c>
      <c r="N6" s="212">
        <f>J6-M6</f>
        <v>471750</v>
      </c>
      <c r="P6" s="129">
        <f>J6-M6-N6</f>
        <v>0</v>
      </c>
      <c r="R6" s="191"/>
      <c r="S6" s="191"/>
      <c r="T6" s="186"/>
      <c r="U6" s="186"/>
    </row>
    <row r="7" spans="1:21" s="4" customFormat="1" ht="15.75" x14ac:dyDescent="0.25">
      <c r="A7" s="24">
        <v>45972</v>
      </c>
      <c r="B7" s="223" t="s">
        <v>246</v>
      </c>
      <c r="C7" s="25" t="s">
        <v>37</v>
      </c>
      <c r="D7" s="30"/>
      <c r="E7" s="108"/>
      <c r="F7" s="109">
        <v>143400000</v>
      </c>
      <c r="G7" s="110"/>
      <c r="H7" s="103">
        <f t="shared" ref="H7:H28" si="1">SUM(D7:G7)</f>
        <v>143400000</v>
      </c>
      <c r="I7" s="30">
        <f>H7*0.11</f>
        <v>15774000</v>
      </c>
      <c r="J7" s="104">
        <f t="shared" si="0"/>
        <v>159174000</v>
      </c>
      <c r="K7" s="3"/>
      <c r="L7" s="145">
        <v>45989</v>
      </c>
      <c r="M7" s="153">
        <v>0</v>
      </c>
      <c r="N7" s="147">
        <f>J7-M7</f>
        <v>159174000</v>
      </c>
      <c r="P7" s="249">
        <f>J7-M7-N7</f>
        <v>0</v>
      </c>
      <c r="R7" s="192"/>
      <c r="S7" s="192"/>
      <c r="T7" s="187"/>
      <c r="U7" s="187"/>
    </row>
    <row r="8" spans="1:21" s="4" customFormat="1" ht="15.75" x14ac:dyDescent="0.25">
      <c r="A8" s="24">
        <v>45972</v>
      </c>
      <c r="B8" s="223" t="s">
        <v>247</v>
      </c>
      <c r="C8" s="25" t="s">
        <v>61</v>
      </c>
      <c r="D8" s="109">
        <v>2829093.9</v>
      </c>
      <c r="E8" s="108"/>
      <c r="F8" s="109">
        <f>16031531.1-1886062.5</f>
        <v>14145468.6</v>
      </c>
      <c r="G8" s="110"/>
      <c r="H8" s="103">
        <f t="shared" si="1"/>
        <v>16974562.5</v>
      </c>
      <c r="I8" s="30">
        <f t="shared" ref="I8:I28" si="2">H8*0.11</f>
        <v>1867201.875</v>
      </c>
      <c r="J8" s="104">
        <f t="shared" si="0"/>
        <v>18841764.375</v>
      </c>
      <c r="K8" s="3"/>
      <c r="L8" s="145">
        <v>45978</v>
      </c>
      <c r="M8" s="153">
        <v>0</v>
      </c>
      <c r="N8" s="147">
        <f>J8-M8</f>
        <v>18841764.375</v>
      </c>
      <c r="P8" s="250">
        <f t="shared" ref="P8:P28" si="3">J8-M8-N8</f>
        <v>0</v>
      </c>
      <c r="R8" s="192"/>
      <c r="S8" s="192"/>
      <c r="T8" s="187"/>
      <c r="U8" s="187"/>
    </row>
    <row r="9" spans="1:21" s="4" customFormat="1" ht="15.75" x14ac:dyDescent="0.25">
      <c r="A9" s="24">
        <v>45972</v>
      </c>
      <c r="B9" s="24" t="s">
        <v>248</v>
      </c>
      <c r="C9" s="25" t="s">
        <v>151</v>
      </c>
      <c r="D9" s="30"/>
      <c r="E9" s="108"/>
      <c r="F9" s="109">
        <v>29905000</v>
      </c>
      <c r="G9" s="110"/>
      <c r="H9" s="103">
        <f t="shared" si="1"/>
        <v>29905000</v>
      </c>
      <c r="I9" s="30">
        <f>H9*0.11</f>
        <v>3289550</v>
      </c>
      <c r="J9" s="104">
        <f t="shared" si="0"/>
        <v>33194550</v>
      </c>
      <c r="K9" s="3"/>
      <c r="L9" s="232">
        <v>45989</v>
      </c>
      <c r="M9" s="127"/>
      <c r="N9" s="147">
        <f>J9-M9</f>
        <v>33194550</v>
      </c>
      <c r="P9" s="95">
        <f t="shared" si="3"/>
        <v>0</v>
      </c>
      <c r="R9" s="128"/>
      <c r="S9" s="128"/>
      <c r="T9" s="128"/>
      <c r="U9" s="128"/>
    </row>
    <row r="10" spans="1:21" s="4" customFormat="1" ht="15.75" x14ac:dyDescent="0.25">
      <c r="A10" s="24">
        <v>45979</v>
      </c>
      <c r="B10" s="223" t="s">
        <v>249</v>
      </c>
      <c r="C10" s="25" t="s">
        <v>61</v>
      </c>
      <c r="D10" s="30">
        <v>39607312.5</v>
      </c>
      <c r="E10" s="108"/>
      <c r="F10" s="109"/>
      <c r="G10" s="110"/>
      <c r="H10" s="103">
        <f t="shared" si="1"/>
        <v>39607312.5</v>
      </c>
      <c r="I10" s="30">
        <f t="shared" si="2"/>
        <v>4356804.375</v>
      </c>
      <c r="J10" s="104">
        <f t="shared" si="0"/>
        <v>43964116.875</v>
      </c>
      <c r="K10" s="3"/>
      <c r="L10" s="145"/>
      <c r="M10" s="150">
        <v>0</v>
      </c>
      <c r="N10" s="147">
        <v>0</v>
      </c>
      <c r="P10" s="95">
        <f t="shared" si="3"/>
        <v>43964116.875</v>
      </c>
      <c r="R10" s="128"/>
      <c r="S10" s="128"/>
      <c r="T10" s="128"/>
      <c r="U10" s="128"/>
    </row>
    <row r="11" spans="1:21" s="4" customFormat="1" ht="15.75" x14ac:dyDescent="0.25">
      <c r="A11" s="24">
        <v>45979</v>
      </c>
      <c r="B11" s="24" t="s">
        <v>250</v>
      </c>
      <c r="C11" s="25" t="s">
        <v>251</v>
      </c>
      <c r="D11" s="111"/>
      <c r="E11" s="108">
        <v>32985000</v>
      </c>
      <c r="F11" s="108"/>
      <c r="G11" s="110"/>
      <c r="H11" s="103">
        <f t="shared" si="1"/>
        <v>32985000</v>
      </c>
      <c r="I11" s="30">
        <f>H11*0.11</f>
        <v>3628350</v>
      </c>
      <c r="J11" s="104">
        <f t="shared" si="0"/>
        <v>36613350</v>
      </c>
      <c r="K11" s="3"/>
      <c r="L11" s="232">
        <v>46003</v>
      </c>
      <c r="M11" s="127"/>
      <c r="N11" s="147">
        <f>J11-M11</f>
        <v>36613350</v>
      </c>
      <c r="P11" s="95">
        <f t="shared" si="3"/>
        <v>0</v>
      </c>
      <c r="R11" s="128"/>
      <c r="S11" s="128"/>
      <c r="T11" s="128"/>
      <c r="U11" s="128"/>
    </row>
    <row r="12" spans="1:21" s="4" customFormat="1" ht="15.75" x14ac:dyDescent="0.25">
      <c r="A12" s="24">
        <v>45980</v>
      </c>
      <c r="B12" s="223" t="s">
        <v>252</v>
      </c>
      <c r="C12" s="25" t="s">
        <v>117</v>
      </c>
      <c r="D12" s="111">
        <v>5500000</v>
      </c>
      <c r="E12" s="108"/>
      <c r="F12" s="109"/>
      <c r="G12" s="110"/>
      <c r="H12" s="103">
        <f t="shared" si="1"/>
        <v>5500000</v>
      </c>
      <c r="I12" s="30">
        <v>0</v>
      </c>
      <c r="J12" s="104">
        <f t="shared" si="0"/>
        <v>5500000</v>
      </c>
      <c r="K12" s="3"/>
      <c r="L12" s="145">
        <v>45980</v>
      </c>
      <c r="M12" s="150">
        <v>0</v>
      </c>
      <c r="N12" s="147">
        <f>J12-M12</f>
        <v>5500000</v>
      </c>
      <c r="P12" s="95">
        <f t="shared" si="3"/>
        <v>0</v>
      </c>
      <c r="R12" s="128"/>
      <c r="S12" s="128"/>
      <c r="T12" s="128"/>
      <c r="U12" s="128"/>
    </row>
    <row r="13" spans="1:21" s="4" customFormat="1" ht="15.75" x14ac:dyDescent="0.25">
      <c r="A13" s="24">
        <v>45986</v>
      </c>
      <c r="B13" s="24" t="s">
        <v>253</v>
      </c>
      <c r="C13" s="25" t="s">
        <v>39</v>
      </c>
      <c r="D13" s="111"/>
      <c r="E13" s="108"/>
      <c r="F13" s="109">
        <v>20000000</v>
      </c>
      <c r="G13" s="110"/>
      <c r="H13" s="103">
        <f t="shared" ref="H13:H27" si="4">SUM(D13:G13)</f>
        <v>20000000</v>
      </c>
      <c r="I13" s="30">
        <f t="shared" si="2"/>
        <v>2200000</v>
      </c>
      <c r="J13" s="104">
        <f t="shared" ref="J13:J27" si="5">H13+I13</f>
        <v>22200000</v>
      </c>
      <c r="K13" s="3"/>
      <c r="L13" s="145"/>
      <c r="M13" s="150"/>
      <c r="N13" s="147">
        <v>0</v>
      </c>
      <c r="P13" s="95">
        <f t="shared" si="3"/>
        <v>22200000</v>
      </c>
      <c r="R13" s="128"/>
      <c r="S13" s="128"/>
      <c r="T13" s="128"/>
      <c r="U13" s="128"/>
    </row>
    <row r="14" spans="1:21" s="4" customFormat="1" ht="15.75" x14ac:dyDescent="0.25">
      <c r="A14" s="24">
        <v>45987</v>
      </c>
      <c r="B14" s="223" t="s">
        <v>254</v>
      </c>
      <c r="C14" s="25" t="s">
        <v>38</v>
      </c>
      <c r="D14" s="111"/>
      <c r="E14" s="108"/>
      <c r="F14" s="109">
        <v>34000000</v>
      </c>
      <c r="G14" s="110"/>
      <c r="H14" s="103">
        <f t="shared" si="4"/>
        <v>34000000</v>
      </c>
      <c r="I14" s="30">
        <f t="shared" ref="I14:I27" si="6">H14*0.11</f>
        <v>3740000</v>
      </c>
      <c r="J14" s="104">
        <f t="shared" si="5"/>
        <v>37740000</v>
      </c>
      <c r="K14" s="3"/>
      <c r="L14" s="145"/>
      <c r="M14" s="150"/>
      <c r="N14" s="147">
        <v>0</v>
      </c>
      <c r="P14" s="95">
        <f t="shared" si="3"/>
        <v>37740000</v>
      </c>
      <c r="R14" s="128"/>
      <c r="S14" s="128"/>
      <c r="T14" s="128"/>
      <c r="U14" s="128"/>
    </row>
    <row r="15" spans="1:21" s="4" customFormat="1" ht="15.75" x14ac:dyDescent="0.25">
      <c r="A15" s="24">
        <v>45989</v>
      </c>
      <c r="B15" s="223" t="s">
        <v>255</v>
      </c>
      <c r="C15" s="25" t="s">
        <v>55</v>
      </c>
      <c r="D15" s="111"/>
      <c r="E15" s="108"/>
      <c r="F15" s="109">
        <v>126480000</v>
      </c>
      <c r="G15" s="110"/>
      <c r="H15" s="103">
        <f t="shared" ref="H15:H25" si="7">SUM(D15:G15)</f>
        <v>126480000</v>
      </c>
      <c r="I15" s="30">
        <f t="shared" ref="I15:I26" si="8">H15*0.11</f>
        <v>13912800</v>
      </c>
      <c r="J15" s="104">
        <f t="shared" ref="J15:J25" si="9">H15+I15</f>
        <v>140392800</v>
      </c>
      <c r="K15" s="3"/>
      <c r="L15" s="145"/>
      <c r="M15" s="150"/>
      <c r="N15" s="147">
        <v>0</v>
      </c>
      <c r="P15" s="95">
        <f t="shared" si="3"/>
        <v>140392800</v>
      </c>
      <c r="R15" s="128"/>
      <c r="S15" s="128"/>
      <c r="T15" s="128"/>
      <c r="U15" s="128"/>
    </row>
    <row r="16" spans="1:21" s="4" customFormat="1" ht="15.75" x14ac:dyDescent="0.25">
      <c r="A16" s="24">
        <v>45989</v>
      </c>
      <c r="B16" s="223" t="s">
        <v>258</v>
      </c>
      <c r="C16" s="25" t="s">
        <v>55</v>
      </c>
      <c r="D16" s="111"/>
      <c r="E16" s="108"/>
      <c r="F16" s="109">
        <v>364000000</v>
      </c>
      <c r="G16" s="110"/>
      <c r="H16" s="103">
        <f t="shared" si="7"/>
        <v>364000000</v>
      </c>
      <c r="I16" s="30">
        <f t="shared" si="8"/>
        <v>40040000</v>
      </c>
      <c r="J16" s="104">
        <f t="shared" si="9"/>
        <v>404040000</v>
      </c>
      <c r="K16" s="3"/>
      <c r="L16" s="145"/>
      <c r="M16" s="150"/>
      <c r="N16" s="147">
        <v>0</v>
      </c>
      <c r="P16" s="95">
        <f t="shared" si="3"/>
        <v>404040000</v>
      </c>
      <c r="R16" s="128"/>
      <c r="S16" s="128"/>
      <c r="T16" s="128"/>
      <c r="U16" s="128"/>
    </row>
    <row r="17" spans="1:21" s="4" customFormat="1" ht="15.75" x14ac:dyDescent="0.25">
      <c r="A17" s="24">
        <v>45989</v>
      </c>
      <c r="B17" s="223" t="s">
        <v>264</v>
      </c>
      <c r="C17" s="25" t="s">
        <v>56</v>
      </c>
      <c r="D17" s="111"/>
      <c r="E17" s="108"/>
      <c r="F17" s="109">
        <v>144000000</v>
      </c>
      <c r="G17" s="110"/>
      <c r="H17" s="103">
        <f t="shared" si="7"/>
        <v>144000000</v>
      </c>
      <c r="I17" s="30">
        <f t="shared" si="8"/>
        <v>15840000</v>
      </c>
      <c r="J17" s="104">
        <f t="shared" si="9"/>
        <v>159840000</v>
      </c>
      <c r="K17" s="3"/>
      <c r="L17" s="145"/>
      <c r="M17" s="150"/>
      <c r="N17" s="147">
        <v>0</v>
      </c>
      <c r="P17" s="95">
        <f t="shared" si="3"/>
        <v>159840000</v>
      </c>
      <c r="R17" s="128"/>
      <c r="S17" s="128"/>
      <c r="T17" s="128"/>
      <c r="U17" s="128"/>
    </row>
    <row r="18" spans="1:21" s="4" customFormat="1" ht="15.75" x14ac:dyDescent="0.25">
      <c r="A18" s="24"/>
      <c r="B18" s="223"/>
      <c r="C18" s="25"/>
      <c r="D18" s="111"/>
      <c r="E18" s="108"/>
      <c r="F18" s="109"/>
      <c r="G18" s="110"/>
      <c r="H18" s="103">
        <f t="shared" si="7"/>
        <v>0</v>
      </c>
      <c r="I18" s="30">
        <f t="shared" si="8"/>
        <v>0</v>
      </c>
      <c r="J18" s="104">
        <f t="shared" si="9"/>
        <v>0</v>
      </c>
      <c r="K18" s="3"/>
      <c r="L18" s="145"/>
      <c r="M18" s="150"/>
      <c r="N18" s="147">
        <v>0</v>
      </c>
      <c r="P18" s="95">
        <f t="shared" si="3"/>
        <v>0</v>
      </c>
      <c r="R18" s="128"/>
      <c r="S18" s="128"/>
      <c r="T18" s="128"/>
      <c r="U18" s="128"/>
    </row>
    <row r="19" spans="1:21" s="4" customFormat="1" ht="15.75" x14ac:dyDescent="0.25">
      <c r="A19" s="24"/>
      <c r="B19" s="223"/>
      <c r="C19" s="25"/>
      <c r="D19" s="111"/>
      <c r="E19" s="108"/>
      <c r="F19" s="109"/>
      <c r="G19" s="110"/>
      <c r="H19" s="103">
        <f t="shared" si="7"/>
        <v>0</v>
      </c>
      <c r="I19" s="30">
        <f t="shared" si="8"/>
        <v>0</v>
      </c>
      <c r="J19" s="104">
        <f t="shared" si="9"/>
        <v>0</v>
      </c>
      <c r="K19" s="3"/>
      <c r="L19" s="145"/>
      <c r="M19" s="150"/>
      <c r="N19" s="147">
        <v>0</v>
      </c>
      <c r="P19" s="95">
        <f t="shared" si="3"/>
        <v>0</v>
      </c>
      <c r="R19" s="128"/>
      <c r="S19" s="128"/>
      <c r="T19" s="128"/>
      <c r="U19" s="128"/>
    </row>
    <row r="20" spans="1:21" s="4" customFormat="1" ht="15.75" x14ac:dyDescent="0.25">
      <c r="A20" s="24"/>
      <c r="B20" s="223"/>
      <c r="C20" s="25"/>
      <c r="D20" s="111"/>
      <c r="E20" s="108"/>
      <c r="F20" s="109"/>
      <c r="G20" s="110"/>
      <c r="H20" s="103">
        <f t="shared" si="7"/>
        <v>0</v>
      </c>
      <c r="I20" s="30">
        <v>0</v>
      </c>
      <c r="J20" s="104">
        <f t="shared" si="9"/>
        <v>0</v>
      </c>
      <c r="K20" s="3"/>
      <c r="L20" s="145"/>
      <c r="M20" s="150"/>
      <c r="N20" s="147">
        <f>J20-M20</f>
        <v>0</v>
      </c>
      <c r="P20" s="95">
        <f t="shared" si="3"/>
        <v>0</v>
      </c>
      <c r="R20" s="128"/>
      <c r="S20" s="128"/>
      <c r="T20" s="128"/>
      <c r="U20" s="128"/>
    </row>
    <row r="21" spans="1:21" s="4" customFormat="1" ht="15.75" x14ac:dyDescent="0.25">
      <c r="A21" s="24"/>
      <c r="B21" s="223"/>
      <c r="C21" s="25"/>
      <c r="D21" s="111"/>
      <c r="E21" s="108"/>
      <c r="F21" s="109"/>
      <c r="G21" s="110"/>
      <c r="H21" s="103">
        <f t="shared" si="7"/>
        <v>0</v>
      </c>
      <c r="I21" s="30">
        <f t="shared" si="8"/>
        <v>0</v>
      </c>
      <c r="J21" s="104">
        <f t="shared" si="9"/>
        <v>0</v>
      </c>
      <c r="K21" s="3"/>
      <c r="L21" s="145"/>
      <c r="M21" s="150"/>
      <c r="N21" s="147">
        <f>J21-M21</f>
        <v>0</v>
      </c>
      <c r="P21" s="95">
        <f t="shared" si="3"/>
        <v>0</v>
      </c>
      <c r="R21" s="128"/>
      <c r="S21" s="128"/>
      <c r="T21" s="128"/>
      <c r="U21" s="128"/>
    </row>
    <row r="22" spans="1:21" s="4" customFormat="1" ht="15.75" x14ac:dyDescent="0.25">
      <c r="A22" s="24"/>
      <c r="B22" s="223"/>
      <c r="C22" s="25"/>
      <c r="D22" s="111"/>
      <c r="E22" s="108"/>
      <c r="F22" s="109"/>
      <c r="G22" s="110"/>
      <c r="H22" s="103">
        <f t="shared" si="7"/>
        <v>0</v>
      </c>
      <c r="I22" s="30">
        <f t="shared" si="8"/>
        <v>0</v>
      </c>
      <c r="J22" s="104">
        <f t="shared" si="9"/>
        <v>0</v>
      </c>
      <c r="K22" s="3"/>
      <c r="L22" s="145"/>
      <c r="M22" s="150"/>
      <c r="N22" s="147">
        <v>0</v>
      </c>
      <c r="P22" s="95">
        <f t="shared" si="3"/>
        <v>0</v>
      </c>
      <c r="R22" s="128"/>
      <c r="S22" s="128"/>
      <c r="T22" s="128"/>
      <c r="U22" s="128"/>
    </row>
    <row r="23" spans="1:21" s="4" customFormat="1" ht="15.75" x14ac:dyDescent="0.25">
      <c r="A23" s="24"/>
      <c r="B23" s="223"/>
      <c r="C23" s="25"/>
      <c r="D23" s="111"/>
      <c r="E23" s="108"/>
      <c r="F23" s="109"/>
      <c r="G23" s="110"/>
      <c r="H23" s="103">
        <f t="shared" si="7"/>
        <v>0</v>
      </c>
      <c r="I23" s="30">
        <f t="shared" si="8"/>
        <v>0</v>
      </c>
      <c r="J23" s="104">
        <f t="shared" si="9"/>
        <v>0</v>
      </c>
      <c r="K23" s="3"/>
      <c r="L23" s="145"/>
      <c r="M23" s="150"/>
      <c r="N23" s="147">
        <v>0</v>
      </c>
      <c r="P23" s="95">
        <f t="shared" si="3"/>
        <v>0</v>
      </c>
      <c r="R23" s="128"/>
      <c r="S23" s="128"/>
      <c r="T23" s="128"/>
      <c r="U23" s="128"/>
    </row>
    <row r="24" spans="1:21" s="4" customFormat="1" ht="15.75" x14ac:dyDescent="0.25">
      <c r="A24" s="24"/>
      <c r="B24" s="223"/>
      <c r="C24" s="25"/>
      <c r="D24" s="111"/>
      <c r="E24" s="108"/>
      <c r="F24" s="109"/>
      <c r="G24" s="110"/>
      <c r="H24" s="103">
        <f t="shared" si="7"/>
        <v>0</v>
      </c>
      <c r="I24" s="30">
        <f t="shared" si="8"/>
        <v>0</v>
      </c>
      <c r="J24" s="104">
        <f t="shared" si="9"/>
        <v>0</v>
      </c>
      <c r="K24" s="3"/>
      <c r="L24" s="145"/>
      <c r="M24" s="150"/>
      <c r="N24" s="147">
        <f>J24-M24</f>
        <v>0</v>
      </c>
      <c r="P24" s="95">
        <f t="shared" si="3"/>
        <v>0</v>
      </c>
      <c r="R24" s="128"/>
      <c r="S24" s="128"/>
      <c r="T24" s="128"/>
      <c r="U24" s="128"/>
    </row>
    <row r="25" spans="1:21" s="4" customFormat="1" ht="15.75" x14ac:dyDescent="0.25">
      <c r="A25" s="24"/>
      <c r="B25" s="223"/>
      <c r="C25" s="25"/>
      <c r="D25" s="111"/>
      <c r="E25" s="108"/>
      <c r="F25" s="109"/>
      <c r="G25" s="110"/>
      <c r="H25" s="103">
        <f t="shared" si="7"/>
        <v>0</v>
      </c>
      <c r="I25" s="30">
        <f t="shared" si="8"/>
        <v>0</v>
      </c>
      <c r="J25" s="104">
        <f t="shared" si="9"/>
        <v>0</v>
      </c>
      <c r="K25" s="3"/>
      <c r="L25" s="145"/>
      <c r="M25" s="150"/>
      <c r="N25" s="147">
        <f>J25-M25</f>
        <v>0</v>
      </c>
      <c r="O25" s="4" t="s">
        <v>47</v>
      </c>
      <c r="P25" s="95">
        <f t="shared" si="3"/>
        <v>0</v>
      </c>
      <c r="R25" s="128"/>
      <c r="S25" s="128"/>
      <c r="T25" s="128"/>
      <c r="U25" s="128"/>
    </row>
    <row r="26" spans="1:21" s="4" customFormat="1" ht="15.75" x14ac:dyDescent="0.25">
      <c r="A26" s="24"/>
      <c r="B26" s="223"/>
      <c r="C26" s="25"/>
      <c r="D26" s="111"/>
      <c r="E26" s="108"/>
      <c r="F26" s="109"/>
      <c r="G26" s="110"/>
      <c r="H26" s="103">
        <f t="shared" si="4"/>
        <v>0</v>
      </c>
      <c r="I26" s="30">
        <f t="shared" si="8"/>
        <v>0</v>
      </c>
      <c r="J26" s="104">
        <f t="shared" si="5"/>
        <v>0</v>
      </c>
      <c r="K26" s="3"/>
      <c r="L26" s="145"/>
      <c r="M26" s="150"/>
      <c r="N26" s="147">
        <f>J26-M26</f>
        <v>0</v>
      </c>
      <c r="P26" s="95">
        <f t="shared" si="3"/>
        <v>0</v>
      </c>
      <c r="R26" s="128"/>
      <c r="S26" s="128"/>
      <c r="T26" s="128"/>
      <c r="U26" s="128"/>
    </row>
    <row r="27" spans="1:21" s="4" customFormat="1" ht="15.75" x14ac:dyDescent="0.25">
      <c r="A27" s="24"/>
      <c r="B27" s="24"/>
      <c r="C27" s="25"/>
      <c r="D27" s="111"/>
      <c r="E27" s="108"/>
      <c r="F27" s="109"/>
      <c r="G27" s="110"/>
      <c r="H27" s="103">
        <f t="shared" si="4"/>
        <v>0</v>
      </c>
      <c r="I27" s="30">
        <f t="shared" si="6"/>
        <v>0</v>
      </c>
      <c r="J27" s="104">
        <f t="shared" si="5"/>
        <v>0</v>
      </c>
      <c r="K27" s="3"/>
      <c r="L27" s="145"/>
      <c r="M27" s="150"/>
      <c r="N27" s="147">
        <f>J27-M27</f>
        <v>0</v>
      </c>
      <c r="P27" s="95">
        <f t="shared" si="3"/>
        <v>0</v>
      </c>
      <c r="R27" s="128"/>
      <c r="S27" s="128"/>
      <c r="T27" s="128"/>
      <c r="U27" s="128"/>
    </row>
    <row r="28" spans="1:21" s="4" customFormat="1" ht="15.75" x14ac:dyDescent="0.25">
      <c r="A28" s="31"/>
      <c r="B28" s="31"/>
      <c r="C28" s="32"/>
      <c r="D28" s="112"/>
      <c r="E28" s="113"/>
      <c r="F28" s="114"/>
      <c r="G28" s="115"/>
      <c r="H28" s="247">
        <f t="shared" si="1"/>
        <v>0</v>
      </c>
      <c r="I28" s="248">
        <f t="shared" si="2"/>
        <v>0</v>
      </c>
      <c r="J28" s="116">
        <f t="shared" si="0"/>
        <v>0</v>
      </c>
      <c r="K28" s="3"/>
      <c r="L28" s="130"/>
      <c r="M28" s="130"/>
      <c r="N28" s="170">
        <f t="shared" ref="N28" si="10">J28-M28</f>
        <v>0</v>
      </c>
      <c r="P28" s="132">
        <f t="shared" si="3"/>
        <v>0</v>
      </c>
      <c r="R28" s="178"/>
      <c r="S28" s="178"/>
      <c r="T28" s="178"/>
      <c r="U28" s="178"/>
    </row>
    <row r="29" spans="1:21" ht="21.75" customHeight="1" x14ac:dyDescent="0.25">
      <c r="A29" s="45"/>
      <c r="B29" s="45"/>
      <c r="C29" s="36" t="s">
        <v>0</v>
      </c>
      <c r="D29" s="90">
        <f t="shared" ref="D29:J29" si="11">SUM(D6:D28)</f>
        <v>47936406.399999999</v>
      </c>
      <c r="E29" s="90">
        <f t="shared" si="11"/>
        <v>32985000</v>
      </c>
      <c r="F29" s="90">
        <f t="shared" si="11"/>
        <v>876355468.60000002</v>
      </c>
      <c r="G29" s="90">
        <f t="shared" si="11"/>
        <v>0</v>
      </c>
      <c r="H29" s="131">
        <f t="shared" si="11"/>
        <v>957276875</v>
      </c>
      <c r="I29" s="131">
        <f t="shared" si="11"/>
        <v>104695456.25</v>
      </c>
      <c r="J29" s="44">
        <f t="shared" si="11"/>
        <v>1061972331.25</v>
      </c>
      <c r="L29" s="131"/>
      <c r="M29" s="131">
        <f>SUM(M6:M28)</f>
        <v>0</v>
      </c>
      <c r="N29" s="131">
        <f>SUM(N6:N28)</f>
        <v>253795414.375</v>
      </c>
      <c r="O29" s="4"/>
      <c r="P29" s="131">
        <f>SUM(P6:P28)</f>
        <v>808176916.875</v>
      </c>
      <c r="R29" s="131"/>
      <c r="S29" s="131"/>
      <c r="T29" s="131"/>
      <c r="U29" s="131">
        <f>SUM(U6:U28)</f>
        <v>0</v>
      </c>
    </row>
    <row r="30" spans="1:21" ht="15.75" x14ac:dyDescent="0.25">
      <c r="H30" s="18"/>
      <c r="L30" s="3"/>
      <c r="M30" s="3"/>
      <c r="N30" s="4"/>
      <c r="O30" s="4"/>
      <c r="P30" s="4"/>
      <c r="U30" s="16">
        <f>M29-U29</f>
        <v>0</v>
      </c>
    </row>
    <row r="31" spans="1:21" x14ac:dyDescent="0.25">
      <c r="H31" s="17"/>
    </row>
    <row r="34" spans="7:16" x14ac:dyDescent="0.25">
      <c r="G34" s="18">
        <f>800*600</f>
        <v>480000</v>
      </c>
    </row>
    <row r="35" spans="7:16" x14ac:dyDescent="0.25">
      <c r="G35" s="18">
        <f>G34*0.3</f>
        <v>144000</v>
      </c>
    </row>
    <row r="36" spans="7:16" x14ac:dyDescent="0.25">
      <c r="G36" s="18">
        <f>G34-G35</f>
        <v>336000</v>
      </c>
    </row>
    <row r="46" spans="7:16" x14ac:dyDescent="0.25">
      <c r="L46" s="121"/>
      <c r="M46" s="121"/>
      <c r="N46" s="121"/>
      <c r="P46" s="121"/>
    </row>
  </sheetData>
  <autoFilter ref="P1:P46" xr:uid="{00000000-0009-0000-0000-00000B000000}"/>
  <mergeCells count="8">
    <mergeCell ref="N4:N5"/>
    <mergeCell ref="P4:P5"/>
    <mergeCell ref="M4:M5"/>
    <mergeCell ref="A4:A5"/>
    <mergeCell ref="B4:B5"/>
    <mergeCell ref="C4:C5"/>
    <mergeCell ref="D4:J4"/>
    <mergeCell ref="L4:L5"/>
  </mergeCells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5"/>
  <sheetViews>
    <sheetView tabSelected="1" workbookViewId="0">
      <pane ySplit="5" topLeftCell="A6" activePane="bottomLeft" state="frozen"/>
      <selection pane="bottomLeft" activeCell="E19" sqref="E19"/>
    </sheetView>
  </sheetViews>
  <sheetFormatPr defaultRowHeight="15" x14ac:dyDescent="0.25"/>
  <cols>
    <col min="1" max="1" width="12.28515625" customWidth="1"/>
    <col min="2" max="2" width="19.85546875" bestFit="1" customWidth="1"/>
    <col min="3" max="3" width="36.5703125" customWidth="1"/>
    <col min="4" max="4" width="15.42578125" customWidth="1"/>
    <col min="5" max="5" width="15.28515625" bestFit="1" customWidth="1"/>
    <col min="6" max="6" width="14.42578125" customWidth="1"/>
    <col min="7" max="7" width="14.140625" customWidth="1"/>
    <col min="8" max="8" width="16.85546875" bestFit="1" customWidth="1"/>
    <col min="9" max="9" width="15.28515625" bestFit="1" customWidth="1"/>
    <col min="10" max="10" width="14.85546875" bestFit="1" customWidth="1"/>
    <col min="11" max="11" width="3.140625" customWidth="1"/>
    <col min="12" max="13" width="13.85546875" customWidth="1"/>
    <col min="14" max="14" width="13" customWidth="1"/>
    <col min="15" max="15" width="4.5703125" customWidth="1"/>
    <col min="16" max="16" width="14.5703125" bestFit="1" customWidth="1"/>
    <col min="17" max="17" width="11.5703125" bestFit="1" customWidth="1"/>
  </cols>
  <sheetData>
    <row r="1" spans="1:16" ht="19.5" x14ac:dyDescent="0.25">
      <c r="A1" s="2" t="s">
        <v>173</v>
      </c>
      <c r="B1" s="2"/>
      <c r="C1" s="4"/>
      <c r="D1" s="13"/>
      <c r="E1" s="6"/>
      <c r="F1" s="11"/>
      <c r="G1" s="10"/>
    </row>
    <row r="2" spans="1:16" x14ac:dyDescent="0.25">
      <c r="A2" s="4"/>
      <c r="B2" s="4"/>
      <c r="C2" s="4"/>
      <c r="D2" s="13"/>
      <c r="E2" s="6"/>
      <c r="F2" s="4"/>
      <c r="G2" s="10"/>
    </row>
    <row r="3" spans="1:16" x14ac:dyDescent="0.25">
      <c r="A3" s="12" t="s">
        <v>3</v>
      </c>
      <c r="B3" s="4"/>
      <c r="C3" s="4"/>
      <c r="D3" s="13"/>
      <c r="E3" s="6"/>
      <c r="F3" s="4"/>
      <c r="G3" s="10"/>
    </row>
    <row r="4" spans="1:16" ht="22.5" customHeight="1" x14ac:dyDescent="0.25">
      <c r="A4" s="288" t="s">
        <v>2</v>
      </c>
      <c r="B4" s="290" t="s">
        <v>4</v>
      </c>
      <c r="C4" s="288" t="s">
        <v>32</v>
      </c>
      <c r="D4" s="282" t="s">
        <v>1</v>
      </c>
      <c r="E4" s="282"/>
      <c r="F4" s="282"/>
      <c r="G4" s="282"/>
      <c r="H4" s="282"/>
      <c r="I4" s="282"/>
      <c r="J4" s="282"/>
      <c r="K4" s="122"/>
      <c r="L4" s="286" t="s">
        <v>25</v>
      </c>
      <c r="M4" s="287" t="s">
        <v>28</v>
      </c>
      <c r="N4" s="286" t="s">
        <v>26</v>
      </c>
      <c r="P4" s="286" t="s">
        <v>31</v>
      </c>
    </row>
    <row r="5" spans="1:16" ht="15.75" x14ac:dyDescent="0.25">
      <c r="A5" s="289"/>
      <c r="B5" s="291"/>
      <c r="C5" s="289"/>
      <c r="D5" s="38" t="s">
        <v>6</v>
      </c>
      <c r="E5" s="38" t="s">
        <v>5</v>
      </c>
      <c r="F5" s="39" t="s">
        <v>7</v>
      </c>
      <c r="G5" s="39" t="s">
        <v>8</v>
      </c>
      <c r="H5" s="39" t="s">
        <v>0</v>
      </c>
      <c r="I5" s="40" t="s">
        <v>3</v>
      </c>
      <c r="J5" s="40" t="s">
        <v>9</v>
      </c>
      <c r="K5" s="123"/>
      <c r="L5" s="286"/>
      <c r="M5" s="292"/>
      <c r="N5" s="286"/>
      <c r="P5" s="286"/>
    </row>
    <row r="6" spans="1:16" s="4" customFormat="1" ht="15.75" x14ac:dyDescent="0.25">
      <c r="A6" s="24">
        <v>45992</v>
      </c>
      <c r="B6" s="223" t="s">
        <v>256</v>
      </c>
      <c r="C6" s="25" t="s">
        <v>257</v>
      </c>
      <c r="D6" s="30">
        <v>81900000</v>
      </c>
      <c r="E6" s="27"/>
      <c r="F6" s="26"/>
      <c r="G6" s="27"/>
      <c r="H6" s="50">
        <f t="shared" ref="H6" si="0">SUM(D6:G6)</f>
        <v>81900000</v>
      </c>
      <c r="I6" s="26">
        <f>H6*0.11</f>
        <v>9009000</v>
      </c>
      <c r="J6" s="60">
        <f t="shared" ref="J6" si="1">H6+I6</f>
        <v>90909000</v>
      </c>
      <c r="K6" s="120"/>
      <c r="L6" s="256">
        <v>46003</v>
      </c>
      <c r="M6" s="125"/>
      <c r="N6" s="215">
        <f>J6-M6</f>
        <v>90909000</v>
      </c>
      <c r="P6" s="95">
        <f>J6-N6</f>
        <v>0</v>
      </c>
    </row>
    <row r="7" spans="1:16" s="4" customFormat="1" ht="15.75" x14ac:dyDescent="0.25">
      <c r="A7" s="24">
        <v>45994</v>
      </c>
      <c r="B7" s="223" t="s">
        <v>259</v>
      </c>
      <c r="C7" s="25" t="s">
        <v>37</v>
      </c>
      <c r="D7" s="30"/>
      <c r="E7" s="27"/>
      <c r="F7" s="26">
        <v>1426110000</v>
      </c>
      <c r="G7" s="27"/>
      <c r="H7" s="50">
        <f t="shared" ref="H7:H31" si="2">SUM(D7:G7)</f>
        <v>1426110000</v>
      </c>
      <c r="I7" s="26">
        <f>H7*0.11</f>
        <v>156872100</v>
      </c>
      <c r="J7" s="60">
        <f t="shared" ref="J7:J31" si="3">H7+I7</f>
        <v>1582982100</v>
      </c>
      <c r="K7" s="120"/>
      <c r="L7" s="257"/>
      <c r="M7" s="258"/>
      <c r="N7" s="47">
        <v>0</v>
      </c>
      <c r="P7" s="95">
        <f t="shared" ref="P7:P30" si="4">J7-N7</f>
        <v>1582982100</v>
      </c>
    </row>
    <row r="8" spans="1:16" s="4" customFormat="1" ht="15.75" x14ac:dyDescent="0.25">
      <c r="A8" s="24">
        <v>45995</v>
      </c>
      <c r="B8" s="223" t="s">
        <v>260</v>
      </c>
      <c r="C8" s="25" t="s">
        <v>37</v>
      </c>
      <c r="D8" s="30"/>
      <c r="E8" s="27"/>
      <c r="F8" s="26">
        <v>1426110000</v>
      </c>
      <c r="G8" s="27"/>
      <c r="H8" s="50">
        <f t="shared" si="2"/>
        <v>1426110000</v>
      </c>
      <c r="I8" s="26">
        <f>H8*0.11</f>
        <v>156872100</v>
      </c>
      <c r="J8" s="60">
        <f t="shared" si="3"/>
        <v>1582982100</v>
      </c>
      <c r="K8" s="120"/>
      <c r="L8" s="257"/>
      <c r="M8" s="258"/>
      <c r="N8" s="47">
        <v>0</v>
      </c>
      <c r="P8" s="95">
        <f t="shared" si="4"/>
        <v>1582982100</v>
      </c>
    </row>
    <row r="9" spans="1:16" s="4" customFormat="1" ht="15.75" x14ac:dyDescent="0.25">
      <c r="A9" s="24">
        <v>45999</v>
      </c>
      <c r="B9" s="223" t="s">
        <v>261</v>
      </c>
      <c r="C9" s="25" t="s">
        <v>37</v>
      </c>
      <c r="D9" s="30"/>
      <c r="E9" s="27"/>
      <c r="F9" s="26">
        <v>170000000</v>
      </c>
      <c r="G9" s="27"/>
      <c r="H9" s="50">
        <f t="shared" si="2"/>
        <v>170000000</v>
      </c>
      <c r="I9" s="26">
        <f>H9*0.11</f>
        <v>18700000</v>
      </c>
      <c r="J9" s="60">
        <f t="shared" si="3"/>
        <v>188700000</v>
      </c>
      <c r="K9" s="120"/>
      <c r="L9" s="257"/>
      <c r="M9" s="258"/>
      <c r="N9" s="47">
        <v>0</v>
      </c>
      <c r="P9" s="95">
        <f t="shared" si="4"/>
        <v>188700000</v>
      </c>
    </row>
    <row r="10" spans="1:16" s="4" customFormat="1" ht="15.75" x14ac:dyDescent="0.25">
      <c r="A10" s="24">
        <v>45999</v>
      </c>
      <c r="B10" s="223" t="s">
        <v>262</v>
      </c>
      <c r="C10" s="25" t="s">
        <v>55</v>
      </c>
      <c r="D10" s="30"/>
      <c r="E10" s="27"/>
      <c r="F10" s="26">
        <v>32130000</v>
      </c>
      <c r="G10" s="27"/>
      <c r="H10" s="50">
        <f t="shared" si="2"/>
        <v>32130000</v>
      </c>
      <c r="I10" s="26">
        <f>H10*0.11</f>
        <v>3534300</v>
      </c>
      <c r="J10" s="60">
        <f t="shared" si="3"/>
        <v>35664300</v>
      </c>
      <c r="K10" s="120"/>
      <c r="L10" s="257"/>
      <c r="M10" s="258"/>
      <c r="N10" s="47">
        <v>0</v>
      </c>
      <c r="P10" s="95">
        <f t="shared" si="4"/>
        <v>35664300</v>
      </c>
    </row>
    <row r="11" spans="1:16" s="4" customFormat="1" ht="15.75" x14ac:dyDescent="0.25">
      <c r="A11" s="24">
        <v>45999</v>
      </c>
      <c r="B11" s="223" t="s">
        <v>263</v>
      </c>
      <c r="C11" s="25" t="s">
        <v>38</v>
      </c>
      <c r="D11" s="30"/>
      <c r="E11" s="27"/>
      <c r="F11" s="26">
        <v>3150000</v>
      </c>
      <c r="G11" s="27"/>
      <c r="H11" s="50">
        <f t="shared" si="2"/>
        <v>3150000</v>
      </c>
      <c r="I11" s="26">
        <f t="shared" ref="I11:I31" si="5">H11*0.11</f>
        <v>346500</v>
      </c>
      <c r="J11" s="60">
        <f t="shared" si="3"/>
        <v>3496500</v>
      </c>
      <c r="K11" s="120"/>
      <c r="L11" s="257"/>
      <c r="M11" s="258"/>
      <c r="N11" s="47">
        <v>0</v>
      </c>
      <c r="P11" s="95">
        <f t="shared" si="4"/>
        <v>3496500</v>
      </c>
    </row>
    <row r="12" spans="1:16" s="4" customFormat="1" ht="15.75" x14ac:dyDescent="0.25">
      <c r="A12" s="24">
        <v>46001</v>
      </c>
      <c r="B12" s="223" t="s">
        <v>265</v>
      </c>
      <c r="C12" s="25" t="s">
        <v>37</v>
      </c>
      <c r="D12" s="30"/>
      <c r="E12" s="27"/>
      <c r="F12" s="26">
        <v>30000000</v>
      </c>
      <c r="G12" s="27"/>
      <c r="H12" s="50">
        <f t="shared" si="2"/>
        <v>30000000</v>
      </c>
      <c r="I12" s="26">
        <f t="shared" si="5"/>
        <v>3300000</v>
      </c>
      <c r="J12" s="60">
        <f t="shared" si="3"/>
        <v>33300000</v>
      </c>
      <c r="K12" s="120"/>
      <c r="L12" s="257"/>
      <c r="M12" s="258"/>
      <c r="N12" s="47">
        <v>0</v>
      </c>
      <c r="P12" s="95">
        <f t="shared" si="4"/>
        <v>33300000</v>
      </c>
    </row>
    <row r="13" spans="1:16" s="4" customFormat="1" ht="15.75" x14ac:dyDescent="0.25">
      <c r="A13" s="24">
        <v>46001</v>
      </c>
      <c r="B13" s="223" t="s">
        <v>266</v>
      </c>
      <c r="C13" s="25" t="s">
        <v>37</v>
      </c>
      <c r="D13" s="30"/>
      <c r="E13" s="27"/>
      <c r="F13" s="26">
        <v>13870000</v>
      </c>
      <c r="G13" s="27"/>
      <c r="H13" s="50">
        <f t="shared" si="2"/>
        <v>13870000</v>
      </c>
      <c r="I13" s="26">
        <f t="shared" si="5"/>
        <v>1525700</v>
      </c>
      <c r="J13" s="60">
        <f t="shared" si="3"/>
        <v>15395700</v>
      </c>
      <c r="K13" s="120"/>
      <c r="L13" s="257"/>
      <c r="M13" s="258"/>
      <c r="N13" s="47">
        <v>0</v>
      </c>
      <c r="P13" s="95">
        <f t="shared" si="4"/>
        <v>15395700</v>
      </c>
    </row>
    <row r="14" spans="1:16" s="4" customFormat="1" ht="15.75" x14ac:dyDescent="0.25">
      <c r="A14" s="24">
        <v>46001</v>
      </c>
      <c r="B14" s="223" t="s">
        <v>267</v>
      </c>
      <c r="C14" s="25" t="s">
        <v>37</v>
      </c>
      <c r="D14" s="30"/>
      <c r="E14" s="27"/>
      <c r="F14" s="26">
        <v>45000000</v>
      </c>
      <c r="G14" s="27"/>
      <c r="H14" s="50">
        <f t="shared" si="2"/>
        <v>45000000</v>
      </c>
      <c r="I14" s="26">
        <f t="shared" si="5"/>
        <v>4950000</v>
      </c>
      <c r="J14" s="60">
        <f t="shared" si="3"/>
        <v>49950000</v>
      </c>
      <c r="K14" s="120"/>
      <c r="L14" s="257"/>
      <c r="M14" s="258"/>
      <c r="N14" s="47">
        <v>0</v>
      </c>
      <c r="P14" s="95">
        <f t="shared" si="4"/>
        <v>49950000</v>
      </c>
    </row>
    <row r="15" spans="1:16" s="4" customFormat="1" ht="15.75" x14ac:dyDescent="0.25">
      <c r="A15" s="24">
        <v>46001</v>
      </c>
      <c r="B15" s="223" t="s">
        <v>268</v>
      </c>
      <c r="C15" s="25" t="s">
        <v>269</v>
      </c>
      <c r="D15" s="30">
        <v>10000000</v>
      </c>
      <c r="E15" s="27"/>
      <c r="F15" s="26"/>
      <c r="G15" s="27"/>
      <c r="H15" s="50">
        <f t="shared" si="2"/>
        <v>10000000</v>
      </c>
      <c r="I15" s="26">
        <f t="shared" si="5"/>
        <v>1100000</v>
      </c>
      <c r="J15" s="60">
        <f t="shared" si="3"/>
        <v>11100000</v>
      </c>
      <c r="K15" s="120"/>
      <c r="L15" s="257">
        <v>46003</v>
      </c>
      <c r="M15" s="258"/>
      <c r="N15" s="47">
        <f>J15-M15</f>
        <v>11100000</v>
      </c>
      <c r="P15" s="95">
        <f t="shared" si="4"/>
        <v>0</v>
      </c>
    </row>
    <row r="16" spans="1:16" s="4" customFormat="1" ht="15.75" x14ac:dyDescent="0.25">
      <c r="A16" s="24">
        <v>46003</v>
      </c>
      <c r="B16" s="223" t="s">
        <v>270</v>
      </c>
      <c r="C16" s="25" t="s">
        <v>151</v>
      </c>
      <c r="D16" s="30"/>
      <c r="E16" s="27"/>
      <c r="F16" s="26">
        <v>14952500</v>
      </c>
      <c r="G16" s="27"/>
      <c r="H16" s="50">
        <f t="shared" si="2"/>
        <v>14952500</v>
      </c>
      <c r="I16" s="26">
        <f t="shared" si="5"/>
        <v>1644775</v>
      </c>
      <c r="J16" s="60">
        <f t="shared" si="3"/>
        <v>16597275</v>
      </c>
      <c r="K16" s="120"/>
      <c r="L16" s="257"/>
      <c r="M16" s="258"/>
      <c r="N16" s="47">
        <v>0</v>
      </c>
      <c r="P16" s="95">
        <f t="shared" si="4"/>
        <v>16597275</v>
      </c>
    </row>
    <row r="17" spans="1:16" s="4" customFormat="1" ht="15.75" x14ac:dyDescent="0.25">
      <c r="A17" s="24">
        <v>46006</v>
      </c>
      <c r="B17" s="223" t="s">
        <v>271</v>
      </c>
      <c r="C17" s="25" t="s">
        <v>56</v>
      </c>
      <c r="D17" s="30"/>
      <c r="E17" s="27"/>
      <c r="F17" s="26">
        <v>8500000</v>
      </c>
      <c r="G17" s="27"/>
      <c r="H17" s="50">
        <f>SUM(D17:G17)</f>
        <v>8500000</v>
      </c>
      <c r="I17" s="26">
        <f t="shared" si="5"/>
        <v>935000</v>
      </c>
      <c r="J17" s="60">
        <f t="shared" si="3"/>
        <v>9435000</v>
      </c>
      <c r="K17" s="120"/>
      <c r="L17" s="257">
        <v>45989</v>
      </c>
      <c r="M17" s="258"/>
      <c r="N17" s="47">
        <f>J17-M17</f>
        <v>9435000</v>
      </c>
      <c r="P17" s="95">
        <f t="shared" si="4"/>
        <v>0</v>
      </c>
    </row>
    <row r="18" spans="1:16" s="4" customFormat="1" ht="15.75" x14ac:dyDescent="0.25">
      <c r="A18" s="24">
        <v>46006</v>
      </c>
      <c r="B18" s="223" t="s">
        <v>272</v>
      </c>
      <c r="C18" s="25" t="s">
        <v>56</v>
      </c>
      <c r="D18" s="30"/>
      <c r="E18" s="27"/>
      <c r="F18" s="26">
        <v>8500000</v>
      </c>
      <c r="G18" s="27"/>
      <c r="H18" s="50">
        <f t="shared" si="2"/>
        <v>8500000</v>
      </c>
      <c r="I18" s="26">
        <f t="shared" si="5"/>
        <v>935000</v>
      </c>
      <c r="J18" s="60">
        <f t="shared" si="3"/>
        <v>9435000</v>
      </c>
      <c r="K18" s="120"/>
      <c r="L18" s="257">
        <v>45989</v>
      </c>
      <c r="M18" s="258"/>
      <c r="N18" s="47">
        <f t="shared" ref="N18:N30" si="6">J18-M18</f>
        <v>9435000</v>
      </c>
      <c r="P18" s="95">
        <f t="shared" si="4"/>
        <v>0</v>
      </c>
    </row>
    <row r="19" spans="1:16" s="4" customFormat="1" ht="15.75" x14ac:dyDescent="0.25">
      <c r="A19" s="24">
        <v>46006</v>
      </c>
      <c r="B19" s="223" t="s">
        <v>273</v>
      </c>
      <c r="C19" s="25" t="s">
        <v>112</v>
      </c>
      <c r="D19" s="30"/>
      <c r="E19" s="27">
        <v>12000000</v>
      </c>
      <c r="F19" s="26"/>
      <c r="G19" s="27"/>
      <c r="H19" s="50">
        <f t="shared" si="2"/>
        <v>12000000</v>
      </c>
      <c r="I19" s="26">
        <f t="shared" si="5"/>
        <v>1320000</v>
      </c>
      <c r="J19" s="60">
        <f t="shared" si="3"/>
        <v>13320000</v>
      </c>
      <c r="K19" s="120"/>
      <c r="L19" s="257"/>
      <c r="M19" s="258"/>
      <c r="N19" s="47">
        <v>0</v>
      </c>
      <c r="P19" s="95">
        <f t="shared" si="4"/>
        <v>13320000</v>
      </c>
    </row>
    <row r="20" spans="1:16" s="4" customFormat="1" ht="15.75" x14ac:dyDescent="0.25">
      <c r="A20" s="24"/>
      <c r="B20" s="223"/>
      <c r="C20" s="25"/>
      <c r="D20" s="30"/>
      <c r="E20" s="27"/>
      <c r="F20" s="26"/>
      <c r="G20" s="27"/>
      <c r="H20" s="50">
        <f t="shared" si="2"/>
        <v>0</v>
      </c>
      <c r="I20" s="26">
        <f t="shared" si="5"/>
        <v>0</v>
      </c>
      <c r="J20" s="60">
        <f t="shared" si="3"/>
        <v>0</v>
      </c>
      <c r="K20" s="120"/>
      <c r="L20" s="257"/>
      <c r="M20" s="258"/>
      <c r="N20" s="47">
        <v>0</v>
      </c>
      <c r="P20" s="95">
        <f t="shared" si="4"/>
        <v>0</v>
      </c>
    </row>
    <row r="21" spans="1:16" s="4" customFormat="1" ht="15.75" x14ac:dyDescent="0.25">
      <c r="A21" s="24"/>
      <c r="B21" s="223"/>
      <c r="C21" s="25"/>
      <c r="D21" s="30"/>
      <c r="E21" s="27"/>
      <c r="F21" s="26"/>
      <c r="G21" s="27"/>
      <c r="H21" s="50">
        <f t="shared" si="2"/>
        <v>0</v>
      </c>
      <c r="I21" s="26">
        <v>0</v>
      </c>
      <c r="J21" s="60">
        <f t="shared" si="3"/>
        <v>0</v>
      </c>
      <c r="K21" s="120"/>
      <c r="L21" s="257"/>
      <c r="M21" s="258"/>
      <c r="N21" s="47">
        <v>0</v>
      </c>
      <c r="P21" s="95">
        <f t="shared" si="4"/>
        <v>0</v>
      </c>
    </row>
    <row r="22" spans="1:16" s="4" customFormat="1" ht="15.75" x14ac:dyDescent="0.25">
      <c r="A22" s="24"/>
      <c r="B22" s="223"/>
      <c r="C22" s="25"/>
      <c r="D22" s="30"/>
      <c r="E22" s="27"/>
      <c r="F22" s="26"/>
      <c r="G22" s="27"/>
      <c r="H22" s="50">
        <f t="shared" si="2"/>
        <v>0</v>
      </c>
      <c r="I22" s="26">
        <v>0</v>
      </c>
      <c r="J22" s="60">
        <f t="shared" si="3"/>
        <v>0</v>
      </c>
      <c r="K22" s="120"/>
      <c r="L22" s="257"/>
      <c r="M22" s="258"/>
      <c r="N22" s="47">
        <v>0</v>
      </c>
      <c r="P22" s="95">
        <f t="shared" si="4"/>
        <v>0</v>
      </c>
    </row>
    <row r="23" spans="1:16" s="4" customFormat="1" ht="15.75" x14ac:dyDescent="0.25">
      <c r="A23" s="24"/>
      <c r="B23" s="223"/>
      <c r="C23" s="25"/>
      <c r="D23" s="30"/>
      <c r="E23" s="27"/>
      <c r="F23" s="26"/>
      <c r="G23" s="27"/>
      <c r="H23" s="50">
        <f t="shared" si="2"/>
        <v>0</v>
      </c>
      <c r="I23" s="26">
        <f t="shared" si="5"/>
        <v>0</v>
      </c>
      <c r="J23" s="60">
        <f t="shared" si="3"/>
        <v>0</v>
      </c>
      <c r="K23" s="120"/>
      <c r="L23" s="257"/>
      <c r="M23" s="258"/>
      <c r="N23" s="47">
        <v>0</v>
      </c>
      <c r="P23" s="95">
        <f t="shared" si="4"/>
        <v>0</v>
      </c>
    </row>
    <row r="24" spans="1:16" s="4" customFormat="1" ht="15.75" x14ac:dyDescent="0.25">
      <c r="A24" s="24"/>
      <c r="B24" s="223"/>
      <c r="C24" s="25"/>
      <c r="D24" s="30"/>
      <c r="E24" s="27"/>
      <c r="F24" s="26"/>
      <c r="G24" s="27"/>
      <c r="H24" s="50">
        <f t="shared" si="2"/>
        <v>0</v>
      </c>
      <c r="I24" s="26">
        <f t="shared" si="5"/>
        <v>0</v>
      </c>
      <c r="J24" s="60">
        <f t="shared" si="3"/>
        <v>0</v>
      </c>
      <c r="K24" s="120"/>
      <c r="L24" s="257"/>
      <c r="M24" s="258"/>
      <c r="N24" s="47">
        <v>0</v>
      </c>
      <c r="P24" s="95">
        <f t="shared" si="4"/>
        <v>0</v>
      </c>
    </row>
    <row r="25" spans="1:16" s="4" customFormat="1" ht="15.75" x14ac:dyDescent="0.25">
      <c r="A25" s="24"/>
      <c r="B25" s="223"/>
      <c r="C25" s="25"/>
      <c r="D25" s="30"/>
      <c r="E25" s="27"/>
      <c r="F25" s="26"/>
      <c r="G25" s="27"/>
      <c r="H25" s="50">
        <f t="shared" si="2"/>
        <v>0</v>
      </c>
      <c r="I25" s="26">
        <f t="shared" si="5"/>
        <v>0</v>
      </c>
      <c r="J25" s="60">
        <f t="shared" si="3"/>
        <v>0</v>
      </c>
      <c r="K25" s="120"/>
      <c r="L25" s="257"/>
      <c r="M25" s="258"/>
      <c r="N25" s="47">
        <f t="shared" si="6"/>
        <v>0</v>
      </c>
      <c r="P25" s="95">
        <f t="shared" si="4"/>
        <v>0</v>
      </c>
    </row>
    <row r="26" spans="1:16" s="4" customFormat="1" ht="15.75" x14ac:dyDescent="0.25">
      <c r="A26" s="24"/>
      <c r="B26" s="223"/>
      <c r="C26" s="25"/>
      <c r="D26" s="30"/>
      <c r="E26" s="27"/>
      <c r="F26" s="26"/>
      <c r="G26" s="27"/>
      <c r="H26" s="50">
        <f t="shared" si="2"/>
        <v>0</v>
      </c>
      <c r="I26" s="26">
        <f t="shared" si="5"/>
        <v>0</v>
      </c>
      <c r="J26" s="60">
        <f t="shared" si="3"/>
        <v>0</v>
      </c>
      <c r="K26" s="120"/>
      <c r="L26" s="257"/>
      <c r="M26" s="258"/>
      <c r="N26" s="47">
        <f t="shared" si="6"/>
        <v>0</v>
      </c>
      <c r="P26" s="95">
        <f t="shared" si="4"/>
        <v>0</v>
      </c>
    </row>
    <row r="27" spans="1:16" s="4" customFormat="1" ht="15.75" x14ac:dyDescent="0.25">
      <c r="A27" s="24"/>
      <c r="B27" s="223"/>
      <c r="C27" s="25"/>
      <c r="D27" s="30"/>
      <c r="E27" s="27"/>
      <c r="F27" s="26"/>
      <c r="G27" s="27"/>
      <c r="H27" s="50">
        <f t="shared" si="2"/>
        <v>0</v>
      </c>
      <c r="I27" s="26">
        <f t="shared" si="5"/>
        <v>0</v>
      </c>
      <c r="J27" s="60">
        <f t="shared" si="3"/>
        <v>0</v>
      </c>
      <c r="K27" s="120"/>
      <c r="L27" s="257"/>
      <c r="M27" s="258"/>
      <c r="N27" s="47">
        <f t="shared" si="6"/>
        <v>0</v>
      </c>
      <c r="P27" s="95">
        <f t="shared" si="4"/>
        <v>0</v>
      </c>
    </row>
    <row r="28" spans="1:16" s="4" customFormat="1" ht="15.75" x14ac:dyDescent="0.25">
      <c r="A28" s="24"/>
      <c r="B28" s="223"/>
      <c r="C28" s="25"/>
      <c r="D28" s="30"/>
      <c r="E28" s="27"/>
      <c r="F28" s="26"/>
      <c r="G28" s="27"/>
      <c r="H28" s="50">
        <f t="shared" si="2"/>
        <v>0</v>
      </c>
      <c r="I28" s="26">
        <f t="shared" si="5"/>
        <v>0</v>
      </c>
      <c r="J28" s="60">
        <f t="shared" si="3"/>
        <v>0</v>
      </c>
      <c r="K28" s="120"/>
      <c r="L28" s="257"/>
      <c r="M28" s="258"/>
      <c r="N28" s="47">
        <f t="shared" si="6"/>
        <v>0</v>
      </c>
      <c r="P28" s="95">
        <f t="shared" si="4"/>
        <v>0</v>
      </c>
    </row>
    <row r="29" spans="1:16" s="4" customFormat="1" ht="15.75" x14ac:dyDescent="0.25">
      <c r="A29" s="24"/>
      <c r="B29" s="223"/>
      <c r="C29" s="25"/>
      <c r="D29" s="30"/>
      <c r="E29" s="27"/>
      <c r="F29" s="26"/>
      <c r="G29" s="27"/>
      <c r="H29" s="50">
        <f t="shared" si="2"/>
        <v>0</v>
      </c>
      <c r="I29" s="26">
        <f t="shared" si="5"/>
        <v>0</v>
      </c>
      <c r="J29" s="60">
        <f t="shared" si="3"/>
        <v>0</v>
      </c>
      <c r="K29" s="120"/>
      <c r="L29" s="257"/>
      <c r="M29" s="258"/>
      <c r="N29" s="47">
        <f t="shared" si="6"/>
        <v>0</v>
      </c>
      <c r="P29" s="95">
        <f t="shared" si="4"/>
        <v>0</v>
      </c>
    </row>
    <row r="30" spans="1:16" s="4" customFormat="1" ht="15.75" x14ac:dyDescent="0.25">
      <c r="A30" s="24"/>
      <c r="B30" s="223"/>
      <c r="C30" s="25"/>
      <c r="D30" s="30"/>
      <c r="E30" s="27"/>
      <c r="F30" s="26"/>
      <c r="G30" s="27"/>
      <c r="H30" s="50">
        <f t="shared" si="2"/>
        <v>0</v>
      </c>
      <c r="I30" s="26">
        <f t="shared" si="5"/>
        <v>0</v>
      </c>
      <c r="J30" s="60">
        <f t="shared" si="3"/>
        <v>0</v>
      </c>
      <c r="K30" s="120"/>
      <c r="L30" s="257"/>
      <c r="M30" s="258"/>
      <c r="N30" s="47">
        <f t="shared" si="6"/>
        <v>0</v>
      </c>
      <c r="P30" s="95">
        <f t="shared" si="4"/>
        <v>0</v>
      </c>
    </row>
    <row r="31" spans="1:16" s="4" customFormat="1" x14ac:dyDescent="0.25">
      <c r="A31" s="24"/>
      <c r="B31" s="24"/>
      <c r="C31" s="25"/>
      <c r="D31" s="26"/>
      <c r="E31" s="27"/>
      <c r="F31" s="26"/>
      <c r="G31" s="27"/>
      <c r="H31" s="50">
        <f t="shared" si="2"/>
        <v>0</v>
      </c>
      <c r="I31" s="26">
        <f t="shared" si="5"/>
        <v>0</v>
      </c>
      <c r="J31" s="60">
        <f t="shared" si="3"/>
        <v>0</v>
      </c>
      <c r="K31" s="124"/>
      <c r="L31" s="145"/>
      <c r="M31" s="146">
        <v>0</v>
      </c>
      <c r="N31" s="47">
        <v>0</v>
      </c>
      <c r="P31" s="181">
        <f>J31-N31</f>
        <v>0</v>
      </c>
    </row>
    <row r="32" spans="1:16" s="4" customFormat="1" x14ac:dyDescent="0.25">
      <c r="A32" s="24"/>
      <c r="B32" s="24"/>
      <c r="C32" s="25"/>
      <c r="D32" s="26"/>
      <c r="E32" s="27"/>
      <c r="F32" s="26"/>
      <c r="G32" s="27"/>
      <c r="H32" s="50">
        <f t="shared" ref="H32:H36" si="7">SUM(D32:G32)</f>
        <v>0</v>
      </c>
      <c r="I32" s="26">
        <f t="shared" ref="I32:I37" si="8">H32*0.11</f>
        <v>0</v>
      </c>
      <c r="J32" s="60">
        <f t="shared" ref="J32:J36" si="9">H32+I32</f>
        <v>0</v>
      </c>
      <c r="K32" s="120"/>
      <c r="L32" s="145"/>
      <c r="M32" s="146">
        <f>D32*0.02</f>
        <v>0</v>
      </c>
      <c r="N32" s="47">
        <v>0</v>
      </c>
      <c r="P32" s="181">
        <f>J32-N32</f>
        <v>0</v>
      </c>
    </row>
    <row r="33" spans="1:16" s="4" customFormat="1" x14ac:dyDescent="0.25">
      <c r="A33" s="24"/>
      <c r="B33" s="223"/>
      <c r="C33" s="25"/>
      <c r="D33" s="26"/>
      <c r="E33" s="27"/>
      <c r="F33" s="26"/>
      <c r="G33" s="27"/>
      <c r="H33" s="50">
        <f t="shared" si="7"/>
        <v>0</v>
      </c>
      <c r="I33" s="26">
        <f t="shared" si="8"/>
        <v>0</v>
      </c>
      <c r="J33" s="60">
        <f t="shared" si="9"/>
        <v>0</v>
      </c>
      <c r="K33" s="120"/>
      <c r="L33" s="145"/>
      <c r="M33" s="146">
        <f>D33*0.02</f>
        <v>0</v>
      </c>
      <c r="N33" s="47">
        <v>0</v>
      </c>
      <c r="P33" s="95">
        <f t="shared" ref="P33:P37" si="10">J33-N33</f>
        <v>0</v>
      </c>
    </row>
    <row r="34" spans="1:16" s="4" customFormat="1" ht="15.75" x14ac:dyDescent="0.25">
      <c r="A34" s="24"/>
      <c r="B34" s="24"/>
      <c r="C34" s="25"/>
      <c r="D34" s="26"/>
      <c r="E34" s="27"/>
      <c r="F34" s="26"/>
      <c r="G34" s="27"/>
      <c r="H34" s="50">
        <f t="shared" si="7"/>
        <v>0</v>
      </c>
      <c r="I34" s="26">
        <f t="shared" si="8"/>
        <v>0</v>
      </c>
      <c r="J34" s="60">
        <f t="shared" si="9"/>
        <v>0</v>
      </c>
      <c r="K34" s="120"/>
      <c r="L34" s="127"/>
      <c r="M34" s="127"/>
      <c r="N34" s="47">
        <v>0</v>
      </c>
      <c r="P34" s="95">
        <f t="shared" si="10"/>
        <v>0</v>
      </c>
    </row>
    <row r="35" spans="1:16" s="4" customFormat="1" ht="15.75" x14ac:dyDescent="0.25">
      <c r="A35" s="24"/>
      <c r="B35" s="24"/>
      <c r="C35" s="25"/>
      <c r="D35" s="26"/>
      <c r="E35" s="27"/>
      <c r="F35" s="26"/>
      <c r="G35" s="27"/>
      <c r="H35" s="50">
        <f t="shared" si="7"/>
        <v>0</v>
      </c>
      <c r="I35" s="26">
        <f t="shared" si="8"/>
        <v>0</v>
      </c>
      <c r="J35" s="60">
        <f t="shared" si="9"/>
        <v>0</v>
      </c>
      <c r="K35" s="120"/>
      <c r="L35" s="127"/>
      <c r="M35" s="127"/>
      <c r="N35" s="47">
        <v>0</v>
      </c>
      <c r="P35" s="95">
        <f t="shared" si="10"/>
        <v>0</v>
      </c>
    </row>
    <row r="36" spans="1:16" s="4" customFormat="1" ht="15.75" x14ac:dyDescent="0.25">
      <c r="A36" s="24"/>
      <c r="B36" s="24"/>
      <c r="C36" s="25"/>
      <c r="D36" s="26"/>
      <c r="E36" s="27"/>
      <c r="F36" s="26"/>
      <c r="G36" s="27"/>
      <c r="H36" s="50">
        <f t="shared" si="7"/>
        <v>0</v>
      </c>
      <c r="I36" s="26">
        <f t="shared" si="8"/>
        <v>0</v>
      </c>
      <c r="J36" s="60">
        <f t="shared" si="9"/>
        <v>0</v>
      </c>
      <c r="K36" s="120"/>
      <c r="L36" s="127"/>
      <c r="M36" s="127"/>
      <c r="N36" s="47">
        <v>0</v>
      </c>
      <c r="P36" s="95">
        <f t="shared" si="10"/>
        <v>0</v>
      </c>
    </row>
    <row r="37" spans="1:16" x14ac:dyDescent="0.25">
      <c r="A37" s="31"/>
      <c r="B37" s="31"/>
      <c r="C37" s="32"/>
      <c r="D37" s="117"/>
      <c r="E37" s="118"/>
      <c r="F37" s="117"/>
      <c r="G37" s="119"/>
      <c r="H37" s="51">
        <f t="shared" ref="H37" si="11">SUM(D37:G37)</f>
        <v>0</v>
      </c>
      <c r="I37" s="26">
        <f t="shared" si="8"/>
        <v>0</v>
      </c>
      <c r="J37" s="61">
        <f t="shared" ref="J37" si="12">H37+I37</f>
        <v>0</v>
      </c>
      <c r="K37" s="120"/>
      <c r="L37" s="154"/>
      <c r="M37" s="146">
        <v>0</v>
      </c>
      <c r="N37" s="222">
        <f t="shared" ref="N37" si="13">J37-M37</f>
        <v>0</v>
      </c>
      <c r="P37" s="132">
        <f t="shared" si="10"/>
        <v>0</v>
      </c>
    </row>
    <row r="38" spans="1:16" ht="21.75" customHeight="1" x14ac:dyDescent="0.25">
      <c r="A38" s="45"/>
      <c r="B38" s="45"/>
      <c r="C38" s="36" t="s">
        <v>0</v>
      </c>
      <c r="D38" s="90">
        <f t="shared" ref="D38:J38" si="14">SUM(D6:D37)</f>
        <v>91900000</v>
      </c>
      <c r="E38" s="90">
        <f t="shared" si="14"/>
        <v>12000000</v>
      </c>
      <c r="F38" s="90">
        <f t="shared" si="14"/>
        <v>3178322500</v>
      </c>
      <c r="G38" s="90">
        <f t="shared" si="14"/>
        <v>0</v>
      </c>
      <c r="H38" s="90">
        <f t="shared" si="14"/>
        <v>3282222500</v>
      </c>
      <c r="I38" s="90">
        <f t="shared" si="14"/>
        <v>361044475</v>
      </c>
      <c r="J38" s="90">
        <f t="shared" si="14"/>
        <v>3643266975</v>
      </c>
      <c r="K38" s="120"/>
      <c r="L38" s="134"/>
      <c r="M38" s="134">
        <f>SUM(M6:M37)</f>
        <v>0</v>
      </c>
      <c r="N38" s="134">
        <f>SUM(N6:N37)</f>
        <v>120879000</v>
      </c>
      <c r="P38" s="134">
        <f>SUM(P6:P37)</f>
        <v>3522387975</v>
      </c>
    </row>
    <row r="42" spans="1:16" x14ac:dyDescent="0.25">
      <c r="I42" s="136"/>
    </row>
    <row r="43" spans="1:16" x14ac:dyDescent="0.25">
      <c r="H43" s="18"/>
      <c r="I43" s="136"/>
    </row>
    <row r="44" spans="1:16" x14ac:dyDescent="0.25">
      <c r="H44" s="18"/>
      <c r="I44" s="137"/>
    </row>
    <row r="45" spans="1:16" x14ac:dyDescent="0.25">
      <c r="H45" s="18"/>
    </row>
  </sheetData>
  <autoFilter ref="P1:P45" xr:uid="{00000000-0009-0000-0000-00000C000000}"/>
  <mergeCells count="8">
    <mergeCell ref="N4:N5"/>
    <mergeCell ref="P4:P5"/>
    <mergeCell ref="A4:A5"/>
    <mergeCell ref="B4:B5"/>
    <mergeCell ref="C4:C5"/>
    <mergeCell ref="D4:J4"/>
    <mergeCell ref="L4:L5"/>
    <mergeCell ref="M4:M5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REKAP HUTANG</vt:lpstr>
      <vt:lpstr>INV JANUARI</vt:lpstr>
      <vt:lpstr>INV FEBRUARI</vt:lpstr>
      <vt:lpstr>INV MARET</vt:lpstr>
      <vt:lpstr>INV APRIL</vt:lpstr>
      <vt:lpstr>INV MEI</vt:lpstr>
      <vt:lpstr>INV JUNI</vt:lpstr>
      <vt:lpstr>INV JULI</vt:lpstr>
      <vt:lpstr>INV AGUSTUS</vt:lpstr>
      <vt:lpstr>INV SEPTEMBER</vt:lpstr>
      <vt:lpstr>INV OKTOBER</vt:lpstr>
      <vt:lpstr>INV NOVEMBER</vt:lpstr>
      <vt:lpstr>INV 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ENING</dc:creator>
  <cp:lastModifiedBy>gema</cp:lastModifiedBy>
  <cp:lastPrinted>2025-08-26T06:31:44Z</cp:lastPrinted>
  <dcterms:created xsi:type="dcterms:W3CDTF">2011-12-25T10:41:15Z</dcterms:created>
  <dcterms:modified xsi:type="dcterms:W3CDTF">2025-12-15T04:22:03Z</dcterms:modified>
</cp:coreProperties>
</file>