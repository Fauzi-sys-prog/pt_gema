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Dewi\Dewi Newss\Gemateknik\7. Dewi - GMT 2025\Report Sale 2025\"/>
    </mc:Choice>
  </mc:AlternateContent>
  <xr:revisionPtr revIDLastSave="0" documentId="13_ncr:1_{E920E24F-25D4-4B57-B76D-E2EDCBCE7DF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fik Batang Omset" sheetId="187" r:id="rId1"/>
    <sheet name="Mortar M 36 Indoporlen " sheetId="100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7" i="187" l="1"/>
  <c r="Q16" i="187"/>
  <c r="Q15" i="187"/>
  <c r="Q14" i="187"/>
  <c r="Q13" i="187"/>
  <c r="Q12" i="187"/>
  <c r="Q11" i="187"/>
  <c r="Q10" i="187"/>
  <c r="Q9" i="187"/>
  <c r="Q8" i="187"/>
  <c r="Q7" i="187"/>
  <c r="B18" i="187"/>
  <c r="B37" i="187"/>
  <c r="H7" i="100" l="1"/>
  <c r="H6" i="100"/>
</calcChain>
</file>

<file path=xl/sharedStrings.xml><?xml version="1.0" encoding="utf-8"?>
<sst xmlns="http://schemas.openxmlformats.org/spreadsheetml/2006/main" count="59" uniqueCount="44">
  <si>
    <t>No</t>
  </si>
  <si>
    <t>STOCK MATERIAL PER 1 JANUARI 2020</t>
  </si>
  <si>
    <t>GEMA TEKNIK</t>
  </si>
  <si>
    <t>Nama Material</t>
  </si>
  <si>
    <t>Saldo awal</t>
  </si>
  <si>
    <t>Tambahan</t>
  </si>
  <si>
    <t>Pemakain</t>
  </si>
  <si>
    <t>Saldo akhir</t>
  </si>
  <si>
    <t>Keterangan</t>
  </si>
  <si>
    <t>Produksi/Order</t>
  </si>
  <si>
    <t>MORTAR M 38</t>
  </si>
  <si>
    <t>kg</t>
  </si>
  <si>
    <t>From Indoporlen</t>
  </si>
  <si>
    <t>Bulan</t>
  </si>
  <si>
    <t>Omzet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</si>
  <si>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</t>
  </si>
  <si>
    <t>TOTAL</t>
  </si>
  <si>
    <t>Jan'24</t>
  </si>
  <si>
    <t>Feb'24</t>
  </si>
  <si>
    <t>Mar'24</t>
  </si>
  <si>
    <t>Apr'24</t>
  </si>
  <si>
    <t>Mei'24</t>
  </si>
  <si>
    <t>Juni'24</t>
  </si>
  <si>
    <t>Juli'24</t>
  </si>
  <si>
    <t>Agust'24</t>
  </si>
  <si>
    <t>Sept'24</t>
  </si>
  <si>
    <t>Okt'24</t>
  </si>
  <si>
    <t>Nov'24</t>
  </si>
  <si>
    <t>Des'24</t>
  </si>
  <si>
    <t>Jan'25</t>
  </si>
  <si>
    <t>Feb'25</t>
  </si>
  <si>
    <t>Mar'25</t>
  </si>
  <si>
    <t>Apr'25</t>
  </si>
  <si>
    <t>Mei'25</t>
  </si>
  <si>
    <t>Juni'25</t>
  </si>
  <si>
    <t>Juli'25</t>
  </si>
  <si>
    <t>Agust'25</t>
  </si>
  <si>
    <t>Sept'25</t>
  </si>
  <si>
    <t>Okt'25</t>
  </si>
  <si>
    <t>Nov'25</t>
  </si>
  <si>
    <t>Des'25</t>
  </si>
  <si>
    <t>Selisih Omzet 2024 &amp; 2025</t>
  </si>
  <si>
    <t>GRAFIK PENJUALAN PT. GMT 2025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</si>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</sst>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_);_(* \(#,##0\);_(* &quot;-&quot;_);_(@_)"/>
    <numFmt numFmtId="165" formatCode="#,##0;[Red]#,##0"/>
    <numFmt numFmtId="166" formatCode="_(* #,##0.00_);_(* \(#,##0.00\);_(* &quot;-&quot;??_);_(@_)"/>
    <numFmt numFmtId="167" formatCode="_(* #,##0_);_(* \(#,##0\);_(* &quot;-&quot;??_);_(@_)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Baskerville Old Face"/>
      <family val="1"/>
    </font>
    <font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6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vertical="center"/>
    </xf>
    <xf numFmtId="0" fontId="3" fillId="0" borderId="3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2" xfId="0" applyFont="1" applyBorder="1"/>
    <xf numFmtId="0" fontId="4" fillId="0" borderId="13" xfId="0" applyFont="1" applyBorder="1"/>
    <xf numFmtId="14" fontId="4" fillId="0" borderId="14" xfId="0" applyNumberFormat="1" applyFont="1" applyBorder="1" applyAlignment="1">
      <alignment horizontal="left" vertical="center"/>
    </xf>
    <xf numFmtId="0" fontId="4" fillId="0" borderId="10" xfId="0" applyFont="1" applyBorder="1" applyAlignment="1">
      <alignment vertical="center"/>
    </xf>
    <xf numFmtId="164" fontId="4" fillId="0" borderId="0" xfId="0" applyNumberFormat="1" applyFont="1"/>
    <xf numFmtId="164" fontId="4" fillId="0" borderId="12" xfId="0" applyNumberFormat="1" applyFont="1" applyBorder="1"/>
    <xf numFmtId="164" fontId="4" fillId="0" borderId="13" xfId="0" applyNumberFormat="1" applyFont="1" applyBorder="1"/>
    <xf numFmtId="0" fontId="4" fillId="0" borderId="14" xfId="0" applyFont="1" applyBorder="1"/>
    <xf numFmtId="0" fontId="4" fillId="2" borderId="14" xfId="0" applyFont="1" applyFill="1" applyBorder="1"/>
    <xf numFmtId="0" fontId="3" fillId="2" borderId="10" xfId="0" applyFont="1" applyFill="1" applyBorder="1" applyAlignment="1">
      <alignment vertical="center"/>
    </xf>
    <xf numFmtId="0" fontId="4" fillId="2" borderId="12" xfId="0" applyFont="1" applyFill="1" applyBorder="1"/>
    <xf numFmtId="0" fontId="4" fillId="2" borderId="0" xfId="0" applyFont="1" applyFill="1"/>
    <xf numFmtId="0" fontId="4" fillId="2" borderId="13" xfId="0" applyFont="1" applyFill="1" applyBorder="1"/>
    <xf numFmtId="164" fontId="4" fillId="3" borderId="0" xfId="0" applyNumberFormat="1" applyFont="1" applyFill="1"/>
    <xf numFmtId="0" fontId="4" fillId="0" borderId="17" xfId="0" applyFont="1" applyBorder="1"/>
    <xf numFmtId="0" fontId="4" fillId="2" borderId="17" xfId="0" applyFont="1" applyFill="1" applyBorder="1"/>
    <xf numFmtId="167" fontId="4" fillId="0" borderId="12" xfId="0" applyNumberFormat="1" applyFont="1" applyBorder="1"/>
    <xf numFmtId="166" fontId="4" fillId="0" borderId="12" xfId="0" applyNumberFormat="1" applyFont="1" applyBorder="1"/>
    <xf numFmtId="0" fontId="4" fillId="0" borderId="8" xfId="0" applyFont="1" applyBorder="1"/>
    <xf numFmtId="0" fontId="4" fillId="0" borderId="7" xfId="0" applyFont="1" applyBorder="1"/>
    <xf numFmtId="0" fontId="5" fillId="0" borderId="11" xfId="0" applyFont="1" applyBorder="1"/>
    <xf numFmtId="0" fontId="5" fillId="0" borderId="11" xfId="0" applyFont="1" applyBorder="1" applyAlignment="1">
      <alignment vertical="center"/>
    </xf>
    <xf numFmtId="0" fontId="0" fillId="0" borderId="11" xfId="0" applyBorder="1"/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165" fontId="9" fillId="4" borderId="0" xfId="0" applyNumberFormat="1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165" fontId="0" fillId="0" borderId="0" xfId="0" applyNumberFormat="1" applyAlignment="1">
      <alignment vertical="center"/>
    </xf>
    <xf numFmtId="165" fontId="7" fillId="0" borderId="0" xfId="0" applyNumberFormat="1" applyFont="1" applyAlignment="1">
      <alignment horizontal="center" vertical="center"/>
    </xf>
    <xf numFmtId="3" fontId="2" fillId="0" borderId="0" xfId="1" applyNumberFormat="1" applyFont="1"/>
    <xf numFmtId="0" fontId="7" fillId="0" borderId="0" xfId="0" applyFont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165" fontId="7" fillId="0" borderId="11" xfId="0" applyNumberFormat="1" applyFont="1" applyBorder="1" applyAlignment="1">
      <alignment horizontal="center" vertical="center"/>
    </xf>
    <xf numFmtId="165" fontId="0" fillId="0" borderId="0" xfId="0" applyNumberFormat="1"/>
    <xf numFmtId="0" fontId="7" fillId="0" borderId="0" xfId="0" applyFont="1" applyAlignment="1">
      <alignment horizontal="center" vertical="center"/>
    </xf>
    <xf numFmtId="165" fontId="6" fillId="0" borderId="0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17" fontId="4" fillId="0" borderId="6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Omzet 2025</a:t>
            </a:r>
          </a:p>
        </c:rich>
      </c:tx>
      <c:layout>
        <c:manualLayout>
          <c:xMode val="edge"/>
          <c:yMode val="edge"/>
          <c:x val="0.403328946214142"/>
          <c:y val="2.49940846946370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189750229471254"/>
          <c:y val="0.12721188612485387"/>
          <c:w val="0.84934753684095876"/>
          <c:h val="0.72759328281456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'Grafik Batang Omset'!$B$5</c:f>
              <c:strCache>
                <c:ptCount val="1"/>
                <c:pt idx="0">
                  <c:v>Omzet</c:v>
                </c:pt>
              </c:strCache>
            </c:strRef>
          </c:tx>
          <c:spPr>
            <a:solidFill>
              <a:schemeClr val="accent1">
                <a:shade val="76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0735916900591906E-2"/>
                  <c:y val="-4.019541805062014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E57-49B2-A5A3-F2D39FD4D1B1}"/>
                </c:ext>
              </c:extLst>
            </c:dLbl>
            <c:dLbl>
              <c:idx val="1"/>
              <c:layout>
                <c:manualLayout>
                  <c:x val="-6.4483740127827625E-3"/>
                  <c:y val="-2.879087016777770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E57-49B2-A5A3-F2D39FD4D1B1}"/>
                </c:ext>
              </c:extLst>
            </c:dLbl>
            <c:dLbl>
              <c:idx val="2"/>
              <c:layout>
                <c:manualLayout>
                  <c:x val="8.6626811689903532E-3"/>
                  <c:y val="-1.356293371340451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E57-49B2-A5A3-F2D39FD4D1B1}"/>
                </c:ext>
              </c:extLst>
            </c:dLbl>
            <c:dLbl>
              <c:idx val="3"/>
              <c:layout>
                <c:manualLayout>
                  <c:x val="-1.073183741164125E-3"/>
                  <c:y val="7.4187629201217103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E57-49B2-A5A3-F2D39FD4D1B1}"/>
                </c:ext>
              </c:extLst>
            </c:dLbl>
            <c:dLbl>
              <c:idx val="4"/>
              <c:layout>
                <c:manualLayout>
                  <c:x val="3.078337095589298E-2"/>
                  <c:y val="-4.94370504571884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E57-49B2-A5A3-F2D39FD4D1B1}"/>
                </c:ext>
              </c:extLst>
            </c:dLbl>
            <c:dLbl>
              <c:idx val="5"/>
              <c:layout>
                <c:manualLayout>
                  <c:x val="-1.9933866466546281E-3"/>
                  <c:y val="-1.91549950061552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E57-49B2-A5A3-F2D39FD4D1B1}"/>
                </c:ext>
              </c:extLst>
            </c:dLbl>
            <c:dLbl>
              <c:idx val="6"/>
              <c:layout>
                <c:manualLayout>
                  <c:x val="-2.077921511287047E-2"/>
                  <c:y val="2.465178578341424E-4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43-47A5-93D5-7EA7EB70C9F1}"/>
                </c:ext>
              </c:extLst>
            </c:dLbl>
            <c:dLbl>
              <c:idx val="7"/>
              <c:layout>
                <c:manualLayout>
                  <c:x val="-1.9782393669635478E-3"/>
                  <c:y val="1.755551715910104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C37-4341-91D8-D3952427E67F}"/>
                </c:ext>
              </c:extLst>
            </c:dLbl>
            <c:dLbl>
              <c:idx val="8"/>
              <c:layout>
                <c:manualLayout>
                  <c:x val="1.1299091350285438E-3"/>
                  <c:y val="-6.013723062065320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992-479E-8EEB-517FC8AD29E0}"/>
                </c:ext>
              </c:extLst>
            </c:dLbl>
            <c:dLbl>
              <c:idx val="9"/>
              <c:layout>
                <c:manualLayout>
                  <c:x val="-6.104235305795328E-4"/>
                  <c:y val="-5.264611835025046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88-45DE-9066-93DEB919FDDA}"/>
                </c:ext>
              </c:extLst>
            </c:dLbl>
            <c:dLbl>
              <c:idx val="10"/>
              <c:layout>
                <c:manualLayout>
                  <c:x val="-6.8891824278740355E-3"/>
                  <c:y val="-1.7437731787951286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5BA-43B6-842F-70709AE26B93}"/>
                </c:ext>
              </c:extLst>
            </c:dLbl>
            <c:dLbl>
              <c:idx val="11"/>
              <c:layout>
                <c:manualLayout>
                  <c:x val="-1.4485908595557182E-2"/>
                  <c:y val="1.961991382093281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00E-43CD-B53B-0DB1C78C46A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'Grafik Batang Omset'!$A$6:$A$17</c:f>
              <c:strCache>
                <c:ptCount val="12"/>
                <c:pt idx="0">
                  <c:v>Jan'25</c:v>
                </c:pt>
                <c:pt idx="1">
                  <c:v>Feb'25</c:v>
                </c:pt>
                <c:pt idx="2">
                  <c:v>Mar'25</c:v>
                </c:pt>
                <c:pt idx="3">
                  <c:v>Apr'25</c:v>
                </c:pt>
                <c:pt idx="4">
                  <c:v>Mei'25</c:v>
                </c:pt>
                <c:pt idx="5">
                  <c:v>Juni'25</c:v>
                </c:pt>
                <c:pt idx="6">
                  <c:v>Juli'25</c:v>
                </c:pt>
                <c:pt idx="7">
                  <c:v>Agust'25</c:v>
                </c:pt>
                <c:pt idx="8">
                  <c:v>Sept'25</c:v>
                </c:pt>
                <c:pt idx="9">
                  <c:v>Okt'25</c:v>
                </c:pt>
                <c:pt idx="10">
                  <c:v>Nov'25</c:v>
                </c:pt>
                <c:pt idx="11">
                  <c:v>Des'25</c:v>
                </c:pt>
              </c:strCache>
            </c:strRef>
          </c:cat>
          <c:val>
            <c:numRef>
              <c:f>'Grafik Batang Omset'!$B$6:$B$17</c:f>
              <c:numCache>
                <c:formatCode>#,##0;[Red]#,##0</c:formatCode>
                <c:ptCount val="12"/>
                <c:pt idx="0" formatCode="#,##0">
                  <c:v>3984352534</c:v>
                </c:pt>
                <c:pt idx="1">
                  <c:v>1160903519</c:v>
                </c:pt>
                <c:pt idx="2">
                  <c:v>3492981000</c:v>
                </c:pt>
                <c:pt idx="3">
                  <c:v>3014919830</c:v>
                </c:pt>
                <c:pt idx="4">
                  <c:v>2476126280</c:v>
                </c:pt>
                <c:pt idx="5">
                  <c:v>386996800</c:v>
                </c:pt>
                <c:pt idx="6">
                  <c:v>1328433075</c:v>
                </c:pt>
                <c:pt idx="7">
                  <c:v>1878503531</c:v>
                </c:pt>
                <c:pt idx="8">
                  <c:v>1057038680</c:v>
                </c:pt>
                <c:pt idx="9">
                  <c:v>1367074150</c:v>
                </c:pt>
                <c:pt idx="10">
                  <c:v>3373997400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57-49B2-A5A3-F2D39FD4D1B1}"/>
            </c:ext>
          </c:extLst>
        </c:ser>
        <c:ser>
          <c:idx val="1"/>
          <c:order val="1"/>
          <c:tx>
            <c:strRef>
              <c:f>'Grafik Batang Omset'!$B$6:$B$14</c:f>
              <c:strCache>
                <c:ptCount val="9"/>
                <c:pt idx="0">
                  <c:v>3.984.352.534</c:v>
                </c:pt>
                <c:pt idx="1">
                  <c:v>1.160.903.519</c:v>
                </c:pt>
                <c:pt idx="2">
                  <c:v>3.492.981.000</c:v>
                </c:pt>
                <c:pt idx="3">
                  <c:v>3.014.919.830</c:v>
                </c:pt>
                <c:pt idx="4">
                  <c:v>2.476.126.280</c:v>
                </c:pt>
                <c:pt idx="5">
                  <c:v>386.996.800</c:v>
                </c:pt>
                <c:pt idx="6">
                  <c:v>1.328.433.075</c:v>
                </c:pt>
                <c:pt idx="7">
                  <c:v>1.878.503.531</c:v>
                </c:pt>
                <c:pt idx="8">
                  <c:v>1.057.038.680</c:v>
                </c:pt>
              </c:strCache>
            </c:strRef>
          </c:tx>
          <c:spPr>
            <a:solidFill>
              <a:schemeClr val="accent1">
                <a:tint val="77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Lit>
              <c:formatCode>General</c:formatCode>
              <c:ptCount val="1"/>
              <c:pt idx="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0-B992-479E-8EEB-517FC8AD29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axId val="1440609056"/>
        <c:axId val="1440606336"/>
      </c:barChart>
      <c:catAx>
        <c:axId val="1440609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06336"/>
        <c:crosses val="autoZero"/>
        <c:auto val="1"/>
        <c:lblAlgn val="ctr"/>
        <c:lblOffset val="100"/>
        <c:noMultiLvlLbl val="0"/>
      </c:catAx>
      <c:valAx>
        <c:axId val="144060633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0">
                    <a:schemeClr val="tx1">
                      <a:lumMod val="5000"/>
                      <a:lumOff val="95000"/>
                    </a:schemeClr>
                  </a:gs>
                  <a:gs pos="10000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09056"/>
        <c:crosses val="autoZero"/>
        <c:crossBetween val="between"/>
      </c:valAx>
      <c:spPr>
        <a:solidFill>
          <a:schemeClr val="bg1"/>
        </a:solidFill>
        <a:ln>
          <a:solidFill>
            <a:srgbClr val="7030A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5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D"/>
              <a:t>Omzet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433792777766397"/>
          <c:y val="4.5197905548268767E-2"/>
          <c:w val="0.81564397206532924"/>
          <c:h val="0.7531808354464166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'Grafik Batang Omset'!$B$24</c:f>
              <c:strCache>
                <c:ptCount val="1"/>
                <c:pt idx="0">
                  <c:v>Omzet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591283863368667E-2"/>
                  <c:y val="8.971929356288091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524-4A33-8773-7DA97D7E7761}"/>
                </c:ext>
              </c:extLst>
            </c:dLbl>
            <c:dLbl>
              <c:idx val="1"/>
              <c:layout>
                <c:manualLayout>
                  <c:x val="4.7114252061248099E-3"/>
                  <c:y val="6.769340273143823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524-4A33-8773-7DA97D7E7761}"/>
                </c:ext>
              </c:extLst>
            </c:dLbl>
            <c:dLbl>
              <c:idx val="2"/>
              <c:layout>
                <c:manualLayout>
                  <c:x val="-1.9066503719149495E-2"/>
                  <c:y val="-4.9785115072693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524-4A33-8773-7DA97D7E7761}"/>
                </c:ext>
              </c:extLst>
            </c:dLbl>
            <c:dLbl>
              <c:idx val="3"/>
              <c:layout>
                <c:manualLayout>
                  <c:x val="1.5404362493894859E-2"/>
                  <c:y val="-4.5873910450141692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524-4A33-8773-7DA97D7E7761}"/>
                </c:ext>
              </c:extLst>
            </c:dLbl>
            <c:dLbl>
              <c:idx val="4"/>
              <c:layout>
                <c:manualLayout>
                  <c:x val="-2.3376086391654724E-3"/>
                  <c:y val="8.9719261632897687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524-4A33-8773-7DA97D7E7761}"/>
                </c:ext>
              </c:extLst>
            </c:dLbl>
            <c:dLbl>
              <c:idx val="5"/>
              <c:layout>
                <c:manualLayout>
                  <c:x val="-3.4049975363801715E-3"/>
                  <c:y val="-5.8824659878229504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524-4A33-8773-7DA97D7E7761}"/>
                </c:ext>
              </c:extLst>
            </c:dLbl>
            <c:dLbl>
              <c:idx val="6"/>
              <c:layout>
                <c:manualLayout>
                  <c:x val="1.5404362493894859E-2"/>
                  <c:y val="-2.256861156862446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524-4A33-8773-7DA97D7E7761}"/>
                </c:ext>
              </c:extLst>
            </c:dLbl>
            <c:dLbl>
              <c:idx val="7"/>
              <c:layout>
                <c:manualLayout>
                  <c:x val="1.4908404016401131E-3"/>
                  <c:y val="1.34916985660577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524-4A33-8773-7DA97D7E7761}"/>
                </c:ext>
              </c:extLst>
            </c:dLbl>
            <c:dLbl>
              <c:idx val="8"/>
              <c:layout>
                <c:manualLayout>
                  <c:x val="-4.7477242513991958E-3"/>
                  <c:y val="-6.786420468376540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524-4A33-8773-7DA97D7E7761}"/>
                </c:ext>
              </c:extLst>
            </c:dLbl>
            <c:dLbl>
              <c:idx val="9"/>
              <c:layout>
                <c:manualLayout>
                  <c:x val="2.9538640017164476E-2"/>
                  <c:y val="-4.978511507269359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524-4A33-8773-7DA97D7E7761}"/>
                </c:ext>
              </c:extLst>
            </c:dLbl>
            <c:dLbl>
              <c:idx val="10"/>
              <c:layout>
                <c:manualLayout>
                  <c:x val="-1.3288452685022162E-4"/>
                  <c:y val="-5.2315475843144974E-5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524-4A33-8773-7DA97D7E7761}"/>
                </c:ext>
              </c:extLst>
            </c:dLbl>
            <c:dLbl>
              <c:idx val="11"/>
              <c:layout>
                <c:manualLayout>
                  <c:x val="-4.7114252061248524E-3"/>
                  <c:y val="8.971929356288091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524-4A33-8773-7DA97D7E77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'Grafik Batang Omset'!$A$25:$A$36</c:f>
              <c:strCache>
                <c:ptCount val="12"/>
                <c:pt idx="0">
                  <c:v>Jan'24</c:v>
                </c:pt>
                <c:pt idx="1">
                  <c:v>Feb'24</c:v>
                </c:pt>
                <c:pt idx="2">
                  <c:v>Mar'24</c:v>
                </c:pt>
                <c:pt idx="3">
                  <c:v>Apr'24</c:v>
                </c:pt>
                <c:pt idx="4">
                  <c:v>Mei'24</c:v>
                </c:pt>
                <c:pt idx="5">
                  <c:v>Juni'24</c:v>
                </c:pt>
                <c:pt idx="6">
                  <c:v>Juli'24</c:v>
                </c:pt>
                <c:pt idx="7">
                  <c:v>Agust'24</c:v>
                </c:pt>
                <c:pt idx="8">
                  <c:v>Sept'24</c:v>
                </c:pt>
                <c:pt idx="9">
                  <c:v>Okt'24</c:v>
                </c:pt>
                <c:pt idx="10">
                  <c:v>Nov'24</c:v>
                </c:pt>
                <c:pt idx="11">
                  <c:v>Des'24</c:v>
                </c:pt>
              </c:strCache>
            </c:strRef>
          </c:cat>
          <c:val>
            <c:numRef>
              <c:f>'Grafik Batang Omset'!$B$25:$B$36</c:f>
              <c:numCache>
                <c:formatCode>#,##0;[Red]#,##0</c:formatCode>
                <c:ptCount val="12"/>
                <c:pt idx="0" formatCode="#,##0">
                  <c:v>1579466563</c:v>
                </c:pt>
                <c:pt idx="1">
                  <c:v>872735750</c:v>
                </c:pt>
                <c:pt idx="2">
                  <c:v>3009017893</c:v>
                </c:pt>
                <c:pt idx="3">
                  <c:v>2391914750</c:v>
                </c:pt>
                <c:pt idx="4">
                  <c:v>1152273162</c:v>
                </c:pt>
                <c:pt idx="5">
                  <c:v>1348829500</c:v>
                </c:pt>
                <c:pt idx="6">
                  <c:v>1843100563</c:v>
                </c:pt>
                <c:pt idx="7">
                  <c:v>1478471829</c:v>
                </c:pt>
                <c:pt idx="8">
                  <c:v>1407321112</c:v>
                </c:pt>
                <c:pt idx="9">
                  <c:v>1720445574</c:v>
                </c:pt>
                <c:pt idx="10">
                  <c:v>562571500</c:v>
                </c:pt>
                <c:pt idx="11">
                  <c:v>4654358574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24-4A33-8773-7DA97D7E776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440610144"/>
        <c:axId val="1440611232"/>
      </c:barChart>
      <c:catAx>
        <c:axId val="1440610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11232"/>
        <c:crosses val="autoZero"/>
        <c:auto val="1"/>
        <c:lblAlgn val="ctr"/>
        <c:lblOffset val="100"/>
        <c:noMultiLvlLbl val="0"/>
      </c:catAx>
      <c:valAx>
        <c:axId val="144061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10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180973</xdr:colOff>
      <xdr:row>3</xdr:row>
      <xdr:rowOff>0</xdr:rowOff>
    </xdr:from>
    <xdr:to>
      <xdr:col>13</xdr:col>
      <xdr:colOff>428625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1D8C25-DE61-4BA7-99E3-1383C05713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323849</xdr:colOff>
      <xdr:row>22</xdr:row>
      <xdr:rowOff>161924</xdr:rowOff>
    </xdr:from>
    <xdr:to>
      <xdr:col>13</xdr:col>
      <xdr:colOff>419100</xdr:colOff>
      <xdr:row>37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8CB6A7F-0FCD-4C08-AD0F-6B2A5C1CEC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4"/>
  <sheetViews>
    <sheetView tabSelected="1" zoomScaleNormal="100" workbookViewId="0">
      <selection activeCell="R26" sqref="R26"/>
    </sheetView>
  </sheetViews>
  <sheetFormatPr defaultRowHeight="15"/>
  <cols>
    <col min="2" max="2" width="15.28515625" customWidth="1"/>
    <col min="3" max="3" width="14.85546875" customWidth="1"/>
    <col min="17" max="17" width="15.140625" customWidth="1"/>
  </cols>
  <sheetData>
    <row r="1" spans="1:20" ht="15" customHeight="1">
      <c r="A1" s="52" t="s">
        <v>42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1"/>
      <c r="P1" s="41"/>
      <c r="Q1" s="41"/>
    </row>
    <row r="2" spans="1:20" ht="15" customHeigh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1"/>
      <c r="P2" s="41"/>
      <c r="Q2" s="41"/>
    </row>
    <row r="3" spans="1:20" ht="20.25">
      <c r="A3" s="52"/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1"/>
    </row>
    <row r="4" spans="1:20" ht="15.75">
      <c r="A4" s="53">
        <v>2025</v>
      </c>
      <c r="B4" s="53"/>
    </row>
    <row r="5" spans="1:20">
      <c r="A5" s="39" t="s">
        <v>13</v>
      </c>
      <c r="B5" s="40" t="s">
        <v>14</v>
      </c>
      <c r="S5" s="38"/>
      <c r="T5" s="37"/>
    </row>
    <row r="6" spans="1:20">
      <c r="A6" s="38" t="s">
        <v>29</v>
      </c>
      <c r="B6" s="44">
        <v>3984352534</v>
      </c>
      <c r="C6" s="42"/>
      <c r="P6" s="54" t="s">
        <v>41</v>
      </c>
      <c r="Q6" s="54"/>
      <c r="S6" s="38"/>
      <c r="T6" s="37"/>
    </row>
    <row r="7" spans="1:20">
      <c r="A7" s="38" t="s">
        <v>30</v>
      </c>
      <c r="B7" s="42">
        <v>1160903519</v>
      </c>
      <c r="C7" s="42"/>
      <c r="P7" s="38" t="s">
        <v>17</v>
      </c>
      <c r="Q7" s="48">
        <f>B6-B25</f>
        <v>2404885971</v>
      </c>
      <c r="S7" s="38"/>
      <c r="T7" s="37"/>
    </row>
    <row r="8" spans="1:20">
      <c r="A8" s="38" t="s">
        <v>31</v>
      </c>
      <c r="B8" s="42">
        <v>3492981000</v>
      </c>
      <c r="C8" s="42"/>
      <c r="P8" s="38" t="s">
        <v>18</v>
      </c>
      <c r="Q8" s="48">
        <f>B7-B26</f>
        <v>288167769</v>
      </c>
      <c r="S8" s="38"/>
      <c r="T8" s="37"/>
    </row>
    <row r="9" spans="1:20">
      <c r="A9" s="38" t="s">
        <v>32</v>
      </c>
      <c r="B9" s="42">
        <v>3014919830</v>
      </c>
      <c r="C9" s="42"/>
      <c r="P9" s="38" t="s">
        <v>19</v>
      </c>
      <c r="Q9" s="48">
        <f>B8-B27</f>
        <v>483963107</v>
      </c>
      <c r="S9" s="38"/>
      <c r="T9" s="37"/>
    </row>
    <row r="10" spans="1:20">
      <c r="A10" s="38" t="s">
        <v>33</v>
      </c>
      <c r="B10" s="42">
        <v>2476126280</v>
      </c>
      <c r="C10" s="42"/>
      <c r="P10" s="38" t="s">
        <v>20</v>
      </c>
      <c r="Q10" s="48">
        <f>B9-B28</f>
        <v>623005080</v>
      </c>
      <c r="S10" s="38"/>
      <c r="T10" s="37"/>
    </row>
    <row r="11" spans="1:20">
      <c r="A11" s="38" t="s">
        <v>34</v>
      </c>
      <c r="B11" s="50">
        <v>386996800</v>
      </c>
      <c r="C11" s="42"/>
      <c r="P11" s="38" t="s">
        <v>21</v>
      </c>
      <c r="Q11" s="48">
        <f>B10-B29</f>
        <v>1323853118</v>
      </c>
    </row>
    <row r="12" spans="1:20">
      <c r="A12" s="38" t="s">
        <v>35</v>
      </c>
      <c r="B12" s="42">
        <v>1328433075</v>
      </c>
      <c r="C12" s="42"/>
      <c r="P12" s="38" t="s">
        <v>22</v>
      </c>
      <c r="Q12" s="48">
        <f>B11-B30</f>
        <v>-961832700</v>
      </c>
    </row>
    <row r="13" spans="1:20">
      <c r="A13" s="38" t="s">
        <v>36</v>
      </c>
      <c r="B13" s="42">
        <v>1878503531</v>
      </c>
      <c r="C13" s="42"/>
      <c r="P13" s="38" t="s">
        <v>23</v>
      </c>
      <c r="Q13" s="48">
        <f>B12-B31</f>
        <v>-514667488</v>
      </c>
    </row>
    <row r="14" spans="1:20">
      <c r="A14" s="38" t="s">
        <v>37</v>
      </c>
      <c r="B14" s="42">
        <v>1057038680</v>
      </c>
      <c r="C14" s="42"/>
      <c r="P14" s="38" t="s">
        <v>24</v>
      </c>
      <c r="Q14" s="48">
        <f>B13-B32</f>
        <v>400031702</v>
      </c>
    </row>
    <row r="15" spans="1:20">
      <c r="A15" s="38" t="s">
        <v>38</v>
      </c>
      <c r="B15" s="42">
        <v>1367074150</v>
      </c>
      <c r="C15" s="42"/>
      <c r="P15" s="38" t="s">
        <v>25</v>
      </c>
      <c r="Q15" s="48">
        <f>B14-B33</f>
        <v>-350282432</v>
      </c>
      <c r="R15" t="s">
        <v>15</v>
      </c>
    </row>
    <row r="16" spans="1:20">
      <c r="A16" s="38" t="s">
        <v>39</v>
      </c>
      <c r="B16" s="42">
        <v>3373997400</v>
      </c>
      <c r="C16" s="42"/>
      <c r="P16" s="38" t="s">
        <v>26</v>
      </c>
      <c r="Q16" s="48">
        <f>B15-B34</f>
        <v>-353371424</v>
      </c>
    </row>
    <row r="17" spans="1:17" ht="15.75" thickBot="1">
      <c r="A17" s="38" t="s">
        <v>40</v>
      </c>
      <c r="B17" s="42"/>
      <c r="C17" s="42"/>
      <c r="P17" s="38" t="s">
        <v>27</v>
      </c>
      <c r="Q17" s="48">
        <f>B16-B35</f>
        <v>2811425900</v>
      </c>
    </row>
    <row r="18" spans="1:17">
      <c r="A18" s="45" t="s">
        <v>16</v>
      </c>
      <c r="B18" s="47">
        <f>SUM(B6:B17)</f>
        <v>23521326799</v>
      </c>
      <c r="C18" s="43"/>
      <c r="P18" s="38" t="s">
        <v>28</v>
      </c>
    </row>
    <row r="19" spans="1:17">
      <c r="Q19" s="48"/>
    </row>
    <row r="21" spans="1:17">
      <c r="Q21" s="48"/>
    </row>
    <row r="22" spans="1:17">
      <c r="Q22" s="48"/>
    </row>
    <row r="23" spans="1:17" ht="15.75">
      <c r="A23" s="53">
        <v>2024</v>
      </c>
      <c r="B23" s="53"/>
    </row>
    <row r="24" spans="1:17">
      <c r="A24" s="39" t="s">
        <v>13</v>
      </c>
      <c r="B24" s="40" t="s">
        <v>14</v>
      </c>
    </row>
    <row r="25" spans="1:17">
      <c r="A25" s="38" t="s">
        <v>17</v>
      </c>
      <c r="B25" s="44">
        <v>1579466563</v>
      </c>
    </row>
    <row r="26" spans="1:17">
      <c r="A26" s="38" t="s">
        <v>18</v>
      </c>
      <c r="B26" s="42">
        <v>872735750</v>
      </c>
    </row>
    <row r="27" spans="1:17">
      <c r="A27" s="38" t="s">
        <v>19</v>
      </c>
      <c r="B27" s="42">
        <v>3009017893</v>
      </c>
    </row>
    <row r="28" spans="1:17">
      <c r="A28" s="38" t="s">
        <v>20</v>
      </c>
      <c r="B28" s="42">
        <v>2391914750</v>
      </c>
    </row>
    <row r="29" spans="1:17">
      <c r="A29" s="38" t="s">
        <v>21</v>
      </c>
      <c r="B29" s="42">
        <v>1152273162</v>
      </c>
    </row>
    <row r="30" spans="1:17">
      <c r="A30" s="38" t="s">
        <v>22</v>
      </c>
      <c r="B30" s="46">
        <v>1348829500</v>
      </c>
    </row>
    <row r="31" spans="1:17">
      <c r="A31" s="38" t="s">
        <v>23</v>
      </c>
      <c r="B31" s="42">
        <v>1843100563</v>
      </c>
    </row>
    <row r="32" spans="1:17">
      <c r="A32" s="38" t="s">
        <v>24</v>
      </c>
      <c r="B32" s="42">
        <v>1478471829</v>
      </c>
    </row>
    <row r="33" spans="1:17">
      <c r="A33" s="38" t="s">
        <v>25</v>
      </c>
      <c r="B33" s="42">
        <v>1407321112</v>
      </c>
      <c r="Q33" t="s">
        <v>43</v>
      </c>
    </row>
    <row r="34" spans="1:17">
      <c r="A34" s="38" t="s">
        <v>26</v>
      </c>
      <c r="B34" s="42">
        <v>1720445574</v>
      </c>
    </row>
    <row r="35" spans="1:17">
      <c r="A35" s="38" t="s">
        <v>27</v>
      </c>
      <c r="B35" s="42">
        <v>562571500</v>
      </c>
    </row>
    <row r="36" spans="1:17" ht="15.75" thickBot="1">
      <c r="A36" s="38" t="s">
        <v>28</v>
      </c>
      <c r="B36" s="42">
        <v>4654358574</v>
      </c>
    </row>
    <row r="37" spans="1:17">
      <c r="A37" s="49" t="s">
        <v>16</v>
      </c>
      <c r="B37" s="47">
        <f>SUM(B25:B36)</f>
        <v>22020506770</v>
      </c>
    </row>
    <row r="42" spans="1:17">
      <c r="D42" s="48"/>
    </row>
    <row r="54" spans="2:2">
      <c r="B54" s="48"/>
    </row>
  </sheetData>
  <mergeCells count="4">
    <mergeCell ref="A1:N3"/>
    <mergeCell ref="A4:B4"/>
    <mergeCell ref="A23:B23"/>
    <mergeCell ref="P6:Q6"/>
  </mergeCells>
  <pageMargins left="0.39370078740157483" right="0.19685039370078741" top="0.19685039370078741" bottom="0.19685039370078741" header="0.31496062992125984" footer="0.31496062992125984"/>
  <pageSetup paperSize="9" scale="95" orientation="landscape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4"/>
  <dimension ref="A1:I119"/>
  <sheetViews>
    <sheetView workbookViewId="0">
      <selection activeCell="F6" sqref="F6"/>
    </sheetView>
  </sheetViews>
  <sheetFormatPr defaultColWidth="9.140625" defaultRowHeight="15"/>
  <cols>
    <col min="1" max="1" width="8.85546875" customWidth="1"/>
    <col min="2" max="2" width="38.42578125" style="1" customWidth="1"/>
    <col min="3" max="3" width="10.7109375" customWidth="1"/>
    <col min="4" max="4" width="9.42578125" customWidth="1"/>
    <col min="5" max="5" width="5.42578125" customWidth="1"/>
    <col min="6" max="6" width="12.140625" customWidth="1"/>
    <col min="7" max="7" width="14.7109375" customWidth="1"/>
    <col min="8" max="8" width="16" customWidth="1"/>
    <col min="9" max="9" width="19" customWidth="1"/>
  </cols>
  <sheetData>
    <row r="1" spans="1:9">
      <c r="A1" s="2" t="s">
        <v>1</v>
      </c>
      <c r="B1" s="3"/>
      <c r="C1" s="4"/>
      <c r="D1" s="4"/>
      <c r="E1" s="4"/>
      <c r="F1" s="4"/>
      <c r="G1" s="4"/>
      <c r="H1" s="4"/>
      <c r="I1" s="4"/>
    </row>
    <row r="2" spans="1:9">
      <c r="A2" s="4" t="s">
        <v>2</v>
      </c>
      <c r="B2" s="5"/>
      <c r="C2" s="4"/>
      <c r="D2" s="4"/>
      <c r="E2" s="4"/>
      <c r="F2" s="4"/>
      <c r="G2" s="4"/>
      <c r="H2" s="4"/>
      <c r="I2" s="4"/>
    </row>
    <row r="3" spans="1:9" ht="18.75" customHeight="1">
      <c r="A3" s="61" t="s">
        <v>0</v>
      </c>
      <c r="B3" s="57" t="s">
        <v>3</v>
      </c>
      <c r="C3" s="58"/>
      <c r="D3" s="57" t="s">
        <v>4</v>
      </c>
      <c r="E3" s="58"/>
      <c r="F3" s="6" t="s">
        <v>5</v>
      </c>
      <c r="G3" s="64" t="s">
        <v>6</v>
      </c>
      <c r="H3" s="64" t="s">
        <v>7</v>
      </c>
      <c r="I3" s="55" t="s">
        <v>8</v>
      </c>
    </row>
    <row r="4" spans="1:9" ht="15" customHeight="1">
      <c r="A4" s="62"/>
      <c r="B4" s="63"/>
      <c r="C4" s="60"/>
      <c r="D4" s="59">
        <v>43831</v>
      </c>
      <c r="E4" s="60"/>
      <c r="F4" s="7" t="s">
        <v>9</v>
      </c>
      <c r="G4" s="65"/>
      <c r="H4" s="65"/>
      <c r="I4" s="56"/>
    </row>
    <row r="5" spans="1:9">
      <c r="A5" s="8"/>
      <c r="B5" s="9" t="s">
        <v>10</v>
      </c>
      <c r="C5" s="10"/>
      <c r="D5" s="11"/>
      <c r="E5" s="12"/>
      <c r="F5" s="13"/>
      <c r="G5" s="14"/>
      <c r="H5" s="15"/>
      <c r="I5" s="28"/>
    </row>
    <row r="6" spans="1:9">
      <c r="A6" s="16"/>
      <c r="B6" s="17"/>
      <c r="C6" s="14"/>
      <c r="D6" s="18">
        <v>0</v>
      </c>
      <c r="E6" s="14" t="s">
        <v>11</v>
      </c>
      <c r="F6" s="19"/>
      <c r="G6" s="19"/>
      <c r="H6" s="20">
        <f>D6</f>
        <v>0</v>
      </c>
      <c r="I6" s="28"/>
    </row>
    <row r="7" spans="1:9">
      <c r="A7" s="16">
        <v>44148</v>
      </c>
      <c r="B7" s="17" t="s">
        <v>12</v>
      </c>
      <c r="C7" s="14"/>
      <c r="D7" s="18"/>
      <c r="E7" s="14"/>
      <c r="F7" s="19">
        <v>500</v>
      </c>
      <c r="G7" s="19"/>
      <c r="H7" s="20">
        <f>F7</f>
        <v>500</v>
      </c>
      <c r="I7" s="28"/>
    </row>
    <row r="8" spans="1:9">
      <c r="A8" s="16"/>
      <c r="B8" s="17"/>
      <c r="C8" s="14"/>
      <c r="D8" s="18"/>
      <c r="E8" s="14"/>
      <c r="F8" s="19"/>
      <c r="G8" s="19"/>
      <c r="H8" s="20"/>
      <c r="I8" s="28"/>
    </row>
    <row r="9" spans="1:9">
      <c r="A9" s="21"/>
      <c r="B9" s="17"/>
      <c r="C9" s="14"/>
      <c r="D9" s="18"/>
      <c r="E9" s="14"/>
      <c r="F9" s="19"/>
      <c r="G9" s="19"/>
      <c r="H9" s="20"/>
      <c r="I9" s="28"/>
    </row>
    <row r="10" spans="1:9">
      <c r="A10" s="21"/>
      <c r="B10" s="17"/>
      <c r="C10" s="14"/>
      <c r="D10" s="18"/>
      <c r="E10" s="14"/>
      <c r="F10" s="19"/>
      <c r="G10" s="19"/>
      <c r="H10" s="20"/>
      <c r="I10" s="28"/>
    </row>
    <row r="11" spans="1:9">
      <c r="A11" s="21"/>
      <c r="B11" s="17"/>
      <c r="C11" s="14"/>
      <c r="D11" s="18"/>
      <c r="E11" s="14"/>
      <c r="F11" s="19"/>
      <c r="G11" s="19"/>
      <c r="H11" s="20"/>
      <c r="I11" s="28"/>
    </row>
    <row r="12" spans="1:9">
      <c r="A12" s="21"/>
      <c r="B12" s="17"/>
      <c r="C12" s="14"/>
      <c r="D12" s="18"/>
      <c r="E12" s="14"/>
      <c r="F12" s="19"/>
      <c r="G12" s="19"/>
      <c r="H12" s="20"/>
      <c r="I12" s="28"/>
    </row>
    <row r="13" spans="1:9" ht="13.5" customHeight="1">
      <c r="A13" s="21"/>
      <c r="B13" s="17"/>
      <c r="C13" s="14"/>
      <c r="D13" s="4"/>
      <c r="E13" s="14"/>
      <c r="F13" s="14"/>
      <c r="G13" s="14"/>
      <c r="H13" s="20"/>
      <c r="I13" s="28"/>
    </row>
    <row r="14" spans="1:9">
      <c r="A14" s="21"/>
      <c r="B14" s="17"/>
      <c r="C14" s="14"/>
      <c r="D14" s="18"/>
      <c r="E14" s="14"/>
      <c r="F14" s="19"/>
      <c r="G14" s="19"/>
      <c r="H14" s="20"/>
      <c r="I14" s="28"/>
    </row>
    <row r="15" spans="1:9">
      <c r="A15" s="21"/>
      <c r="B15" s="17"/>
      <c r="C15" s="14"/>
      <c r="D15" s="18"/>
      <c r="E15" s="14"/>
      <c r="F15" s="19"/>
      <c r="G15" s="19"/>
      <c r="H15" s="20"/>
      <c r="I15" s="28"/>
    </row>
    <row r="16" spans="1:9">
      <c r="A16" s="21"/>
      <c r="B16" s="17"/>
      <c r="C16" s="14"/>
      <c r="D16" s="18"/>
      <c r="E16" s="14"/>
      <c r="F16" s="19"/>
      <c r="G16" s="19"/>
      <c r="H16" s="20"/>
      <c r="I16" s="28"/>
    </row>
    <row r="17" spans="1:9">
      <c r="A17" s="21"/>
      <c r="B17" s="17"/>
      <c r="C17" s="14"/>
      <c r="D17" s="18"/>
      <c r="E17" s="14"/>
      <c r="F17" s="19"/>
      <c r="G17" s="19"/>
      <c r="H17" s="20"/>
      <c r="I17" s="28"/>
    </row>
    <row r="18" spans="1:9">
      <c r="A18" s="21"/>
      <c r="B18" s="17"/>
      <c r="C18" s="14"/>
      <c r="D18" s="18"/>
      <c r="E18" s="14"/>
      <c r="F18" s="19"/>
      <c r="G18" s="19"/>
      <c r="H18" s="20"/>
      <c r="I18" s="28"/>
    </row>
    <row r="19" spans="1:9">
      <c r="A19" s="21"/>
      <c r="B19" s="17"/>
      <c r="C19" s="14"/>
      <c r="D19" s="18"/>
      <c r="E19" s="14"/>
      <c r="F19" s="19"/>
      <c r="G19" s="19"/>
      <c r="H19" s="20"/>
      <c r="I19" s="28"/>
    </row>
    <row r="20" spans="1:9">
      <c r="A20" s="21"/>
      <c r="B20" s="17"/>
      <c r="C20" s="14"/>
      <c r="D20" s="18"/>
      <c r="E20" s="14"/>
      <c r="F20" s="19"/>
      <c r="G20" s="19"/>
      <c r="H20" s="20"/>
      <c r="I20" s="28"/>
    </row>
    <row r="21" spans="1:9">
      <c r="A21" s="21"/>
      <c r="B21" s="17"/>
      <c r="C21" s="14"/>
      <c r="D21" s="18"/>
      <c r="E21" s="14"/>
      <c r="F21" s="19"/>
      <c r="G21" s="19"/>
      <c r="H21" s="20"/>
      <c r="I21" s="28"/>
    </row>
    <row r="22" spans="1:9">
      <c r="A22" s="21"/>
      <c r="B22" s="17"/>
      <c r="C22" s="14"/>
      <c r="D22" s="18"/>
      <c r="E22" s="14"/>
      <c r="F22" s="19"/>
      <c r="G22" s="19"/>
      <c r="H22" s="20"/>
      <c r="I22" s="28"/>
    </row>
    <row r="23" spans="1:9">
      <c r="A23" s="21"/>
      <c r="B23" s="17"/>
      <c r="C23" s="14"/>
      <c r="D23" s="18"/>
      <c r="E23" s="14"/>
      <c r="F23" s="19"/>
      <c r="G23" s="19"/>
      <c r="H23" s="20"/>
      <c r="I23" s="28"/>
    </row>
    <row r="24" spans="1:9">
      <c r="A24" s="21"/>
      <c r="B24" s="17"/>
      <c r="C24" s="14"/>
      <c r="D24" s="18"/>
      <c r="E24" s="14"/>
      <c r="F24" s="19"/>
      <c r="G24" s="19"/>
      <c r="H24" s="20"/>
      <c r="I24" s="28"/>
    </row>
    <row r="25" spans="1:9">
      <c r="A25" s="21"/>
      <c r="B25" s="17"/>
      <c r="C25" s="14"/>
      <c r="D25" s="18"/>
      <c r="E25" s="14"/>
      <c r="F25" s="19"/>
      <c r="G25" s="19"/>
      <c r="H25" s="20"/>
      <c r="I25" s="28"/>
    </row>
    <row r="26" spans="1:9">
      <c r="A26" s="21"/>
      <c r="B26" s="17"/>
      <c r="C26" s="14"/>
      <c r="D26" s="18"/>
      <c r="E26" s="14"/>
      <c r="F26" s="19"/>
      <c r="G26" s="19"/>
      <c r="H26" s="20"/>
      <c r="I26" s="28"/>
    </row>
    <row r="27" spans="1:9">
      <c r="A27" s="21"/>
      <c r="B27" s="17"/>
      <c r="C27" s="14"/>
      <c r="D27" s="18"/>
      <c r="E27" s="14"/>
      <c r="F27" s="19"/>
      <c r="G27" s="19"/>
      <c r="H27" s="20"/>
      <c r="I27" s="28"/>
    </row>
    <row r="28" spans="1:9">
      <c r="A28" s="21"/>
      <c r="B28" s="17"/>
      <c r="C28" s="14"/>
      <c r="D28" s="18"/>
      <c r="E28" s="14"/>
      <c r="F28" s="19"/>
      <c r="G28" s="19"/>
      <c r="H28" s="20"/>
      <c r="I28" s="28"/>
    </row>
    <row r="29" spans="1:9">
      <c r="A29" s="21"/>
      <c r="B29" s="17"/>
      <c r="C29" s="14"/>
      <c r="D29" s="18"/>
      <c r="E29" s="14"/>
      <c r="F29" s="19"/>
      <c r="G29" s="19"/>
      <c r="H29" s="20"/>
      <c r="I29" s="28"/>
    </row>
    <row r="30" spans="1:9">
      <c r="A30" s="21"/>
      <c r="B30" s="17"/>
      <c r="C30" s="14"/>
      <c r="D30" s="18"/>
      <c r="E30" s="14"/>
      <c r="F30" s="19"/>
      <c r="G30" s="19"/>
      <c r="H30" s="20"/>
      <c r="I30" s="28"/>
    </row>
    <row r="31" spans="1:9">
      <c r="A31" s="21"/>
      <c r="B31" s="17"/>
      <c r="C31" s="14"/>
      <c r="D31" s="18"/>
      <c r="E31" s="4"/>
      <c r="F31" s="20"/>
      <c r="G31" s="19"/>
      <c r="H31" s="20"/>
      <c r="I31" s="28"/>
    </row>
    <row r="32" spans="1:9">
      <c r="A32" s="21"/>
      <c r="B32" s="17"/>
      <c r="C32" s="14"/>
      <c r="D32" s="18"/>
      <c r="E32" s="4"/>
      <c r="F32" s="20"/>
      <c r="G32" s="19"/>
      <c r="H32" s="20"/>
      <c r="I32" s="28"/>
    </row>
    <row r="33" spans="1:9">
      <c r="A33" s="21"/>
      <c r="B33" s="17"/>
      <c r="C33" s="14"/>
      <c r="D33" s="18"/>
      <c r="E33" s="4"/>
      <c r="F33" s="20"/>
      <c r="G33" s="19"/>
      <c r="H33" s="20"/>
      <c r="I33" s="28"/>
    </row>
    <row r="34" spans="1:9">
      <c r="A34" s="21"/>
      <c r="B34" s="17"/>
      <c r="C34" s="14"/>
      <c r="D34" s="18"/>
      <c r="E34" s="4"/>
      <c r="F34" s="20"/>
      <c r="G34" s="19"/>
      <c r="H34" s="20"/>
      <c r="I34" s="28"/>
    </row>
    <row r="35" spans="1:9">
      <c r="A35" s="21"/>
      <c r="B35" s="17"/>
      <c r="C35" s="14"/>
      <c r="D35" s="18"/>
      <c r="E35" s="4"/>
      <c r="F35" s="20"/>
      <c r="G35" s="19"/>
      <c r="H35" s="20"/>
      <c r="I35" s="28"/>
    </row>
    <row r="36" spans="1:9">
      <c r="A36" s="21"/>
      <c r="B36" s="17"/>
      <c r="C36" s="14"/>
      <c r="D36" s="18"/>
      <c r="E36" s="4"/>
      <c r="F36" s="20"/>
      <c r="G36" s="19"/>
      <c r="H36" s="20"/>
      <c r="I36" s="28"/>
    </row>
    <row r="37" spans="1:9">
      <c r="A37" s="21"/>
      <c r="B37" s="17"/>
      <c r="C37" s="14"/>
      <c r="D37" s="18"/>
      <c r="E37" s="4"/>
      <c r="F37" s="20"/>
      <c r="G37" s="19"/>
      <c r="H37" s="20"/>
      <c r="I37" s="28"/>
    </row>
    <row r="38" spans="1:9">
      <c r="A38" s="22"/>
      <c r="B38" s="23"/>
      <c r="C38" s="24"/>
      <c r="D38" s="25"/>
      <c r="E38" s="24"/>
      <c r="F38" s="24"/>
      <c r="G38" s="24"/>
      <c r="H38" s="26"/>
      <c r="I38" s="29"/>
    </row>
    <row r="39" spans="1:9">
      <c r="A39" s="21"/>
      <c r="B39" s="17"/>
      <c r="C39" s="14"/>
      <c r="D39" s="18"/>
      <c r="E39" s="14"/>
      <c r="F39" s="19"/>
      <c r="G39" s="19"/>
      <c r="H39" s="20"/>
      <c r="I39" s="28"/>
    </row>
    <row r="40" spans="1:9">
      <c r="A40" s="21"/>
      <c r="B40" s="17"/>
      <c r="C40" s="14"/>
      <c r="D40" s="18"/>
      <c r="E40" s="14"/>
      <c r="F40" s="19"/>
      <c r="G40" s="19"/>
      <c r="H40" s="20"/>
      <c r="I40" s="28"/>
    </row>
    <row r="41" spans="1:9">
      <c r="A41" s="21"/>
      <c r="B41" s="17"/>
      <c r="C41" s="14"/>
      <c r="D41" s="18"/>
      <c r="E41" s="14"/>
      <c r="F41" s="19"/>
      <c r="G41" s="19"/>
      <c r="H41" s="20"/>
      <c r="I41" s="28"/>
    </row>
    <row r="42" spans="1:9">
      <c r="A42" s="21"/>
      <c r="B42" s="17"/>
      <c r="C42" s="14"/>
      <c r="D42" s="18"/>
      <c r="E42" s="14"/>
      <c r="F42" s="19"/>
      <c r="G42" s="19"/>
      <c r="H42" s="20"/>
      <c r="I42" s="28"/>
    </row>
    <row r="43" spans="1:9">
      <c r="A43" s="21"/>
      <c r="B43" s="17"/>
      <c r="C43" s="14"/>
      <c r="D43" s="18"/>
      <c r="E43" s="14"/>
      <c r="F43" s="19"/>
      <c r="G43" s="19"/>
      <c r="H43" s="20"/>
      <c r="I43" s="28"/>
    </row>
    <row r="44" spans="1:9">
      <c r="A44" s="21"/>
      <c r="B44" s="17"/>
      <c r="C44" s="14"/>
      <c r="D44" s="4"/>
      <c r="E44" s="14"/>
      <c r="F44" s="14"/>
      <c r="G44" s="19"/>
      <c r="H44" s="20"/>
      <c r="I44" s="28"/>
    </row>
    <row r="45" spans="1:9">
      <c r="A45" s="22"/>
      <c r="B45" s="23"/>
      <c r="C45" s="24"/>
      <c r="D45" s="25"/>
      <c r="E45" s="24"/>
      <c r="F45" s="24"/>
      <c r="G45" s="24"/>
      <c r="H45" s="26"/>
      <c r="I45" s="29"/>
    </row>
    <row r="46" spans="1:9">
      <c r="A46" s="21"/>
      <c r="B46" s="17"/>
      <c r="C46" s="14"/>
      <c r="D46" s="18"/>
      <c r="E46" s="14"/>
      <c r="F46" s="14"/>
      <c r="G46" s="14"/>
      <c r="H46" s="15"/>
      <c r="I46" s="28"/>
    </row>
    <row r="47" spans="1:9">
      <c r="A47" s="21"/>
      <c r="B47" s="17"/>
      <c r="C47" s="14"/>
      <c r="D47" s="27"/>
      <c r="E47" s="14"/>
      <c r="F47" s="19"/>
      <c r="G47" s="19"/>
      <c r="H47" s="20"/>
      <c r="I47" s="28"/>
    </row>
    <row r="48" spans="1:9">
      <c r="A48" s="21"/>
      <c r="B48" s="17"/>
      <c r="C48" s="14"/>
      <c r="D48" s="18"/>
      <c r="E48" s="14"/>
      <c r="F48" s="19"/>
      <c r="G48" s="19"/>
      <c r="H48" s="20"/>
      <c r="I48" s="28"/>
    </row>
    <row r="49" spans="1:9">
      <c r="A49" s="21"/>
      <c r="B49" s="17"/>
      <c r="C49" s="14"/>
      <c r="D49" s="18"/>
      <c r="E49" s="14"/>
      <c r="F49" s="19"/>
      <c r="G49" s="19"/>
      <c r="H49" s="20"/>
      <c r="I49" s="28"/>
    </row>
    <row r="50" spans="1:9">
      <c r="A50" s="21"/>
      <c r="B50" s="17"/>
      <c r="C50" s="14"/>
      <c r="D50" s="18"/>
      <c r="E50" s="14"/>
      <c r="F50" s="19"/>
      <c r="G50" s="19"/>
      <c r="H50" s="20"/>
      <c r="I50" s="28"/>
    </row>
    <row r="51" spans="1:9">
      <c r="A51" s="21"/>
      <c r="B51" s="17"/>
      <c r="C51" s="14"/>
      <c r="D51" s="18"/>
      <c r="E51" s="14"/>
      <c r="F51" s="19"/>
      <c r="G51" s="19"/>
      <c r="H51" s="20"/>
      <c r="I51" s="28"/>
    </row>
    <row r="52" spans="1:9">
      <c r="A52" s="21"/>
      <c r="B52" s="17"/>
      <c r="C52" s="14"/>
      <c r="D52" s="18"/>
      <c r="E52" s="14"/>
      <c r="F52" s="19"/>
      <c r="G52" s="19"/>
      <c r="H52" s="20"/>
      <c r="I52" s="28"/>
    </row>
    <row r="53" spans="1:9">
      <c r="A53" s="21"/>
      <c r="B53" s="17"/>
      <c r="C53" s="14"/>
      <c r="D53" s="18"/>
      <c r="E53" s="14"/>
      <c r="F53" s="19"/>
      <c r="G53" s="19"/>
      <c r="H53" s="20"/>
      <c r="I53" s="28"/>
    </row>
    <row r="54" spans="1:9">
      <c r="A54" s="21"/>
      <c r="B54" s="17"/>
      <c r="C54" s="14"/>
      <c r="D54" s="18"/>
      <c r="E54" s="14"/>
      <c r="F54" s="19"/>
      <c r="G54" s="19"/>
      <c r="H54" s="20"/>
      <c r="I54" s="28"/>
    </row>
    <row r="55" spans="1:9">
      <c r="A55" s="21"/>
      <c r="B55" s="17"/>
      <c r="C55" s="14"/>
      <c r="D55" s="18"/>
      <c r="E55" s="14"/>
      <c r="F55" s="19"/>
      <c r="G55" s="19"/>
      <c r="H55" s="20"/>
      <c r="I55" s="28"/>
    </row>
    <row r="56" spans="1:9">
      <c r="A56" s="21"/>
      <c r="B56" s="17"/>
      <c r="C56" s="14"/>
      <c r="D56" s="18"/>
      <c r="E56" s="14"/>
      <c r="F56" s="19"/>
      <c r="G56" s="19"/>
      <c r="H56" s="20"/>
      <c r="I56" s="28"/>
    </row>
    <row r="57" spans="1:9">
      <c r="A57" s="21"/>
      <c r="B57" s="17"/>
      <c r="C57" s="14"/>
      <c r="D57" s="18"/>
      <c r="E57" s="14"/>
      <c r="F57" s="19"/>
      <c r="G57" s="19"/>
      <c r="H57" s="20"/>
      <c r="I57" s="28"/>
    </row>
    <row r="58" spans="1:9">
      <c r="A58" s="21"/>
      <c r="B58" s="17"/>
      <c r="C58" s="14"/>
      <c r="D58" s="18"/>
      <c r="E58" s="14"/>
      <c r="F58" s="19"/>
      <c r="G58" s="19"/>
      <c r="H58" s="20"/>
      <c r="I58" s="28"/>
    </row>
    <row r="59" spans="1:9">
      <c r="A59" s="21"/>
      <c r="B59" s="17"/>
      <c r="C59" s="14"/>
      <c r="D59" s="18"/>
      <c r="E59" s="14"/>
      <c r="F59" s="19"/>
      <c r="G59" s="19"/>
      <c r="H59" s="20"/>
      <c r="I59" s="28"/>
    </row>
    <row r="60" spans="1:9">
      <c r="A60" s="21"/>
      <c r="B60" s="17"/>
      <c r="C60" s="14"/>
      <c r="D60" s="18"/>
      <c r="E60" s="14"/>
      <c r="F60" s="19"/>
      <c r="G60" s="19"/>
      <c r="H60" s="20"/>
      <c r="I60" s="28"/>
    </row>
    <row r="61" spans="1:9">
      <c r="A61" s="21"/>
      <c r="B61" s="17"/>
      <c r="C61" s="14"/>
      <c r="D61" s="18"/>
      <c r="E61" s="14"/>
      <c r="F61" s="19"/>
      <c r="G61" s="19"/>
      <c r="H61" s="20"/>
      <c r="I61" s="28"/>
    </row>
    <row r="62" spans="1:9">
      <c r="A62" s="21"/>
      <c r="B62" s="17"/>
      <c r="C62" s="14"/>
      <c r="D62" s="18"/>
      <c r="E62" s="14"/>
      <c r="F62" s="19"/>
      <c r="G62" s="19"/>
      <c r="H62" s="20"/>
      <c r="I62" s="28"/>
    </row>
    <row r="63" spans="1:9">
      <c r="A63" s="21"/>
      <c r="B63" s="17"/>
      <c r="C63" s="14"/>
      <c r="D63" s="18"/>
      <c r="E63" s="14"/>
      <c r="F63" s="19"/>
      <c r="G63" s="19"/>
      <c r="H63" s="20"/>
      <c r="I63" s="28"/>
    </row>
    <row r="64" spans="1:9">
      <c r="A64" s="21"/>
      <c r="B64" s="17"/>
      <c r="C64" s="14"/>
      <c r="D64" s="18"/>
      <c r="E64" s="4"/>
      <c r="F64" s="20"/>
      <c r="G64" s="19"/>
      <c r="H64" s="20"/>
      <c r="I64" s="28"/>
    </row>
    <row r="65" spans="1:9">
      <c r="A65" s="21"/>
      <c r="B65" s="17"/>
      <c r="C65" s="14"/>
      <c r="D65" s="4"/>
      <c r="E65" s="4"/>
      <c r="F65" s="15"/>
      <c r="G65" s="20"/>
      <c r="H65" s="20"/>
      <c r="I65" s="28"/>
    </row>
    <row r="66" spans="1:9">
      <c r="A66" s="21"/>
      <c r="B66" s="17"/>
      <c r="C66" s="14"/>
      <c r="D66" s="18"/>
      <c r="E66" s="14"/>
      <c r="F66" s="30"/>
      <c r="G66" s="30"/>
      <c r="H66" s="20"/>
      <c r="I66" s="28"/>
    </row>
    <row r="67" spans="1:9">
      <c r="A67" s="21"/>
      <c r="B67" s="17"/>
      <c r="C67" s="14"/>
      <c r="D67" s="18"/>
      <c r="E67" s="14"/>
      <c r="F67" s="30"/>
      <c r="G67" s="30"/>
      <c r="H67" s="20"/>
      <c r="I67" s="28"/>
    </row>
    <row r="68" spans="1:9">
      <c r="A68" s="21"/>
      <c r="B68" s="17"/>
      <c r="C68" s="14"/>
      <c r="D68" s="18"/>
      <c r="E68" s="14"/>
      <c r="F68" s="30"/>
      <c r="G68" s="30"/>
      <c r="H68" s="20"/>
      <c r="I68" s="28"/>
    </row>
    <row r="69" spans="1:9">
      <c r="A69" s="21"/>
      <c r="B69" s="17"/>
      <c r="C69" s="14"/>
      <c r="D69" s="18"/>
      <c r="E69" s="14"/>
      <c r="F69" s="30"/>
      <c r="G69" s="30"/>
      <c r="H69" s="20"/>
      <c r="I69" s="28"/>
    </row>
    <row r="70" spans="1:9">
      <c r="A70" s="21"/>
      <c r="B70" s="17"/>
      <c r="C70" s="14"/>
      <c r="D70" s="18"/>
      <c r="E70" s="14"/>
      <c r="F70" s="30"/>
      <c r="G70" s="30"/>
      <c r="H70" s="20"/>
      <c r="I70" s="28"/>
    </row>
    <row r="71" spans="1:9">
      <c r="A71" s="21"/>
      <c r="B71" s="17"/>
      <c r="C71" s="14"/>
      <c r="D71" s="18"/>
      <c r="E71" s="14"/>
      <c r="F71" s="30"/>
      <c r="G71" s="30"/>
      <c r="H71" s="20"/>
      <c r="I71" s="28"/>
    </row>
    <row r="72" spans="1:9">
      <c r="A72" s="21"/>
      <c r="B72" s="17"/>
      <c r="C72" s="14"/>
      <c r="D72" s="18"/>
      <c r="E72" s="14"/>
      <c r="F72" s="30"/>
      <c r="G72" s="30"/>
      <c r="H72" s="20"/>
      <c r="I72" s="28"/>
    </row>
    <row r="73" spans="1:9">
      <c r="A73" s="21"/>
      <c r="B73" s="17"/>
      <c r="C73" s="14"/>
      <c r="D73" s="18"/>
      <c r="E73" s="14"/>
      <c r="F73" s="30"/>
      <c r="G73" s="30"/>
      <c r="H73" s="20"/>
      <c r="I73" s="28"/>
    </row>
    <row r="74" spans="1:9">
      <c r="A74" s="21"/>
      <c r="B74" s="17"/>
      <c r="C74" s="14"/>
      <c r="D74" s="18"/>
      <c r="E74" s="14"/>
      <c r="F74" s="30"/>
      <c r="G74" s="30"/>
      <c r="H74" s="20"/>
      <c r="I74" s="28"/>
    </row>
    <row r="75" spans="1:9">
      <c r="A75" s="21"/>
      <c r="B75" s="17"/>
      <c r="C75" s="14"/>
      <c r="D75" s="18"/>
      <c r="E75" s="14"/>
      <c r="F75" s="31"/>
      <c r="G75" s="31"/>
      <c r="H75" s="20"/>
      <c r="I75" s="28"/>
    </row>
    <row r="76" spans="1:9">
      <c r="A76" s="21"/>
      <c r="B76" s="17"/>
      <c r="C76" s="14"/>
      <c r="D76" s="18"/>
      <c r="E76" s="14"/>
      <c r="F76" s="31"/>
      <c r="G76" s="31"/>
      <c r="H76" s="20"/>
      <c r="I76" s="28"/>
    </row>
    <row r="77" spans="1:9">
      <c r="A77" s="21"/>
      <c r="B77" s="17"/>
      <c r="C77" s="14"/>
      <c r="D77" s="18"/>
      <c r="E77" s="14"/>
      <c r="F77" s="31"/>
      <c r="G77" s="31"/>
      <c r="H77" s="20"/>
      <c r="I77" s="28"/>
    </row>
    <row r="78" spans="1:9">
      <c r="A78" s="21"/>
      <c r="B78" s="17"/>
      <c r="C78" s="14"/>
      <c r="D78" s="4"/>
      <c r="E78" s="14"/>
      <c r="F78" s="14"/>
      <c r="G78" s="19"/>
      <c r="H78" s="20"/>
      <c r="I78" s="28"/>
    </row>
    <row r="79" spans="1:9">
      <c r="A79" s="22"/>
      <c r="B79" s="23"/>
      <c r="C79" s="24"/>
      <c r="D79" s="25"/>
      <c r="E79" s="24"/>
      <c r="F79" s="24"/>
      <c r="G79" s="24"/>
      <c r="H79" s="26"/>
      <c r="I79" s="29"/>
    </row>
    <row r="80" spans="1:9">
      <c r="A80" s="21"/>
      <c r="B80" s="17"/>
      <c r="C80" s="14"/>
      <c r="D80" s="18"/>
      <c r="E80" s="14"/>
      <c r="F80" s="19"/>
      <c r="G80" s="19"/>
      <c r="H80" s="20"/>
      <c r="I80" s="28"/>
    </row>
    <row r="81" spans="1:9">
      <c r="A81" s="21"/>
      <c r="B81" s="17"/>
      <c r="C81" s="14"/>
      <c r="D81" s="18"/>
      <c r="E81" s="14"/>
      <c r="F81" s="19"/>
      <c r="G81" s="19"/>
      <c r="H81" s="20"/>
      <c r="I81" s="28"/>
    </row>
    <row r="82" spans="1:9">
      <c r="A82" s="21"/>
      <c r="B82" s="17"/>
      <c r="C82" s="14"/>
      <c r="D82" s="18"/>
      <c r="E82" s="14"/>
      <c r="F82" s="19"/>
      <c r="G82" s="19"/>
      <c r="H82" s="20"/>
      <c r="I82" s="28"/>
    </row>
    <row r="83" spans="1:9">
      <c r="A83" s="21"/>
      <c r="B83" s="17"/>
      <c r="C83" s="14"/>
      <c r="D83" s="18"/>
      <c r="E83" s="14"/>
      <c r="F83" s="19"/>
      <c r="G83" s="19"/>
      <c r="H83" s="20"/>
      <c r="I83" s="28"/>
    </row>
    <row r="84" spans="1:9">
      <c r="A84" s="21"/>
      <c r="B84" s="17"/>
      <c r="C84" s="14"/>
      <c r="D84" s="18"/>
      <c r="E84" s="14"/>
      <c r="F84" s="19"/>
      <c r="G84" s="19"/>
      <c r="H84" s="20"/>
      <c r="I84" s="28"/>
    </row>
    <row r="85" spans="1:9">
      <c r="A85" s="21"/>
      <c r="B85" s="17"/>
      <c r="C85" s="14"/>
      <c r="D85" s="18"/>
      <c r="E85" s="14"/>
      <c r="F85" s="19"/>
      <c r="G85" s="19"/>
      <c r="H85" s="20"/>
      <c r="I85" s="28"/>
    </row>
    <row r="86" spans="1:9">
      <c r="A86" s="21"/>
      <c r="B86" s="17"/>
      <c r="C86" s="14"/>
      <c r="D86" s="18"/>
      <c r="E86" s="14"/>
      <c r="F86" s="19"/>
      <c r="G86" s="19"/>
      <c r="H86" s="20"/>
      <c r="I86" s="28"/>
    </row>
    <row r="87" spans="1:9">
      <c r="A87" s="21"/>
      <c r="B87" s="17"/>
      <c r="C87" s="14"/>
      <c r="D87" s="18"/>
      <c r="E87" s="14"/>
      <c r="F87" s="19"/>
      <c r="G87" s="19"/>
      <c r="H87" s="20"/>
      <c r="I87" s="28"/>
    </row>
    <row r="88" spans="1:9">
      <c r="A88" s="21"/>
      <c r="B88" s="17"/>
      <c r="C88" s="14"/>
      <c r="D88" s="18"/>
      <c r="E88" s="14"/>
      <c r="F88" s="19"/>
      <c r="G88" s="19"/>
      <c r="H88" s="20"/>
      <c r="I88" s="28"/>
    </row>
    <row r="89" spans="1:9">
      <c r="A89" s="21"/>
      <c r="B89" s="17"/>
      <c r="C89" s="14"/>
      <c r="D89" s="18"/>
      <c r="E89" s="14"/>
      <c r="F89" s="19"/>
      <c r="G89" s="19"/>
      <c r="H89" s="20"/>
      <c r="I89" s="28"/>
    </row>
    <row r="90" spans="1:9">
      <c r="A90" s="21"/>
      <c r="B90" s="17"/>
      <c r="C90" s="14"/>
      <c r="D90" s="18"/>
      <c r="E90" s="14"/>
      <c r="F90" s="19"/>
      <c r="G90" s="19"/>
      <c r="H90" s="20"/>
      <c r="I90" s="28"/>
    </row>
    <row r="91" spans="1:9">
      <c r="A91" s="21"/>
      <c r="B91" s="17"/>
      <c r="C91" s="14"/>
      <c r="D91" s="18"/>
      <c r="E91" s="14"/>
      <c r="F91" s="19"/>
      <c r="G91" s="19"/>
      <c r="H91" s="20"/>
      <c r="I91" s="28"/>
    </row>
    <row r="92" spans="1:9">
      <c r="A92" s="21"/>
      <c r="B92" s="17"/>
      <c r="C92" s="14"/>
      <c r="D92" s="18"/>
      <c r="E92" s="14"/>
      <c r="F92" s="19"/>
      <c r="G92" s="19"/>
      <c r="H92" s="20"/>
      <c r="I92" s="28"/>
    </row>
    <row r="93" spans="1:9">
      <c r="A93" s="21"/>
      <c r="B93" s="17"/>
      <c r="C93" s="14"/>
      <c r="D93" s="18"/>
      <c r="E93" s="14"/>
      <c r="F93" s="19"/>
      <c r="G93" s="19"/>
      <c r="H93" s="20"/>
      <c r="I93" s="28"/>
    </row>
    <row r="94" spans="1:9">
      <c r="A94" s="21"/>
      <c r="B94" s="17"/>
      <c r="C94" s="14"/>
      <c r="D94" s="18"/>
      <c r="E94" s="14"/>
      <c r="F94" s="19"/>
      <c r="G94" s="19"/>
      <c r="H94" s="20"/>
      <c r="I94" s="28"/>
    </row>
    <row r="95" spans="1:9">
      <c r="A95" s="21"/>
      <c r="B95" s="17"/>
      <c r="C95" s="14"/>
      <c r="D95" s="18"/>
      <c r="E95" s="14"/>
      <c r="F95" s="19"/>
      <c r="G95" s="19"/>
      <c r="H95" s="20"/>
      <c r="I95" s="28"/>
    </row>
    <row r="96" spans="1:9">
      <c r="A96" s="21"/>
      <c r="B96" s="17"/>
      <c r="C96" s="14"/>
      <c r="D96" s="18"/>
      <c r="E96" s="14"/>
      <c r="F96" s="19"/>
      <c r="G96" s="19"/>
      <c r="H96" s="20"/>
      <c r="I96" s="28"/>
    </row>
    <row r="97" spans="1:9">
      <c r="A97" s="21"/>
      <c r="B97" s="17"/>
      <c r="C97" s="14"/>
      <c r="D97" s="18"/>
      <c r="E97" s="14"/>
      <c r="F97" s="19"/>
      <c r="G97" s="19"/>
      <c r="H97" s="20"/>
      <c r="I97" s="28"/>
    </row>
    <row r="98" spans="1:9">
      <c r="A98" s="21"/>
      <c r="B98" s="17"/>
      <c r="C98" s="14"/>
      <c r="D98" s="18"/>
      <c r="E98" s="14"/>
      <c r="F98" s="19"/>
      <c r="G98" s="19"/>
      <c r="H98" s="20"/>
      <c r="I98" s="28"/>
    </row>
    <row r="99" spans="1:9">
      <c r="A99" s="21"/>
      <c r="B99" s="17"/>
      <c r="C99" s="14"/>
      <c r="D99" s="18"/>
      <c r="E99" s="14"/>
      <c r="F99" s="19"/>
      <c r="G99" s="19"/>
      <c r="H99" s="20"/>
      <c r="I99" s="28"/>
    </row>
    <row r="100" spans="1:9">
      <c r="A100" s="21"/>
      <c r="B100" s="17"/>
      <c r="C100" s="14"/>
      <c r="D100" s="18"/>
      <c r="E100" s="14"/>
      <c r="F100" s="19"/>
      <c r="G100" s="19"/>
      <c r="H100" s="20"/>
      <c r="I100" s="28"/>
    </row>
    <row r="101" spans="1:9">
      <c r="A101" s="21"/>
      <c r="B101" s="17"/>
      <c r="C101" s="14"/>
      <c r="D101" s="18"/>
      <c r="E101" s="4"/>
      <c r="F101" s="20"/>
      <c r="G101" s="19"/>
      <c r="H101" s="20"/>
      <c r="I101" s="28"/>
    </row>
    <row r="102" spans="1:9">
      <c r="A102" s="21"/>
      <c r="B102" s="17"/>
      <c r="C102" s="14"/>
      <c r="D102" s="18"/>
      <c r="E102" s="4"/>
      <c r="F102" s="20"/>
      <c r="G102" s="19"/>
      <c r="H102" s="20"/>
      <c r="I102" s="28"/>
    </row>
    <row r="103" spans="1:9">
      <c r="A103" s="21"/>
      <c r="B103" s="17"/>
      <c r="C103" s="14"/>
      <c r="D103" s="18"/>
      <c r="E103" s="4"/>
      <c r="F103" s="20"/>
      <c r="G103" s="19"/>
      <c r="H103" s="20"/>
      <c r="I103" s="28"/>
    </row>
    <row r="104" spans="1:9">
      <c r="A104" s="21"/>
      <c r="B104" s="17"/>
      <c r="C104" s="14"/>
      <c r="D104" s="18"/>
      <c r="E104" s="4"/>
      <c r="F104" s="20"/>
      <c r="G104" s="19"/>
      <c r="H104" s="20"/>
      <c r="I104" s="28"/>
    </row>
    <row r="105" spans="1:9">
      <c r="A105" s="21"/>
      <c r="B105" s="17"/>
      <c r="C105" s="14"/>
      <c r="D105" s="18"/>
      <c r="E105" s="4"/>
      <c r="F105" s="20"/>
      <c r="G105" s="19"/>
      <c r="H105" s="20"/>
      <c r="I105" s="28"/>
    </row>
    <row r="106" spans="1:9">
      <c r="A106" s="21"/>
      <c r="B106" s="17"/>
      <c r="C106" s="14"/>
      <c r="D106" s="18"/>
      <c r="E106" s="4"/>
      <c r="F106" s="20"/>
      <c r="G106" s="19"/>
      <c r="H106" s="20"/>
      <c r="I106" s="28"/>
    </row>
    <row r="107" spans="1:9">
      <c r="A107" s="21"/>
      <c r="B107" s="17"/>
      <c r="C107" s="14"/>
      <c r="D107" s="18"/>
      <c r="E107" s="4"/>
      <c r="F107" s="20"/>
      <c r="G107" s="19"/>
      <c r="H107" s="20"/>
      <c r="I107" s="28"/>
    </row>
    <row r="108" spans="1:9">
      <c r="A108" s="21"/>
      <c r="B108" s="17"/>
      <c r="C108" s="14"/>
      <c r="D108" s="18"/>
      <c r="E108" s="4"/>
      <c r="F108" s="20"/>
      <c r="G108" s="19"/>
      <c r="H108" s="20"/>
      <c r="I108" s="28"/>
    </row>
    <row r="109" spans="1:9">
      <c r="A109" s="21"/>
      <c r="B109" s="17"/>
      <c r="C109" s="14"/>
      <c r="D109" s="18"/>
      <c r="E109" s="4"/>
      <c r="F109" s="20"/>
      <c r="G109" s="19"/>
      <c r="H109" s="20"/>
      <c r="I109" s="28"/>
    </row>
    <row r="110" spans="1:9">
      <c r="A110" s="21"/>
      <c r="B110" s="17"/>
      <c r="C110" s="14"/>
      <c r="D110" s="18"/>
      <c r="E110" s="4"/>
      <c r="F110" s="20"/>
      <c r="G110" s="19"/>
      <c r="H110" s="20"/>
      <c r="I110" s="28"/>
    </row>
    <row r="111" spans="1:9">
      <c r="A111" s="21"/>
      <c r="B111" s="17"/>
      <c r="C111" s="14"/>
      <c r="D111" s="18"/>
      <c r="E111" s="4"/>
      <c r="F111" s="20"/>
      <c r="G111" s="19"/>
      <c r="H111" s="20"/>
      <c r="I111" s="28"/>
    </row>
    <row r="112" spans="1:9">
      <c r="A112" s="21"/>
      <c r="B112" s="17"/>
      <c r="C112" s="14"/>
      <c r="D112" s="18"/>
      <c r="E112" s="4"/>
      <c r="F112" s="20"/>
      <c r="G112" s="19"/>
      <c r="H112" s="20"/>
      <c r="I112" s="28"/>
    </row>
    <row r="113" spans="1:9">
      <c r="A113" s="21"/>
      <c r="B113" s="17"/>
      <c r="C113" s="14"/>
      <c r="D113" s="18"/>
      <c r="E113" s="4"/>
      <c r="F113" s="20"/>
      <c r="G113" s="19"/>
      <c r="H113" s="20"/>
      <c r="I113" s="28"/>
    </row>
    <row r="114" spans="1:9">
      <c r="A114" s="21"/>
      <c r="B114" s="17"/>
      <c r="C114" s="14"/>
      <c r="D114" s="18"/>
      <c r="E114" s="4"/>
      <c r="F114" s="20"/>
      <c r="G114" s="19"/>
      <c r="H114" s="20"/>
      <c r="I114" s="28"/>
    </row>
    <row r="115" spans="1:9">
      <c r="A115" s="21"/>
      <c r="B115" s="17"/>
      <c r="C115" s="14"/>
      <c r="D115" s="18"/>
      <c r="E115" s="4"/>
      <c r="F115" s="20"/>
      <c r="G115" s="19"/>
      <c r="H115" s="20"/>
      <c r="I115" s="28"/>
    </row>
    <row r="116" spans="1:9">
      <c r="A116" s="21"/>
      <c r="B116" s="17"/>
      <c r="C116" s="14"/>
      <c r="D116" s="18"/>
      <c r="E116" s="4"/>
      <c r="F116" s="20"/>
      <c r="G116" s="19"/>
      <c r="H116" s="20"/>
      <c r="I116" s="28"/>
    </row>
    <row r="117" spans="1:9">
      <c r="A117" s="21"/>
      <c r="B117" s="17"/>
      <c r="C117" s="14"/>
      <c r="D117" s="18"/>
      <c r="E117" s="4"/>
      <c r="F117" s="20"/>
      <c r="G117" s="19"/>
      <c r="H117" s="20"/>
      <c r="I117" s="28"/>
    </row>
    <row r="118" spans="1:9" ht="7.5" customHeight="1">
      <c r="A118" s="21"/>
      <c r="B118" s="17"/>
      <c r="C118" s="14"/>
      <c r="D118" s="4"/>
      <c r="E118" s="4"/>
      <c r="F118" s="32"/>
      <c r="G118" s="33"/>
      <c r="H118" s="20"/>
      <c r="I118" s="28"/>
    </row>
    <row r="119" spans="1:9">
      <c r="A119" s="34"/>
      <c r="B119" s="35"/>
      <c r="C119" s="34"/>
      <c r="D119" s="34"/>
      <c r="E119" s="34"/>
      <c r="F119" s="34"/>
      <c r="G119" s="36"/>
      <c r="H119" s="36"/>
      <c r="I119" s="36"/>
    </row>
  </sheetData>
  <mergeCells count="8">
    <mergeCell ref="I3:I4"/>
    <mergeCell ref="D3:E3"/>
    <mergeCell ref="D4:E4"/>
    <mergeCell ref="A3:A4"/>
    <mergeCell ref="B3:B4"/>
    <mergeCell ref="C3:C4"/>
    <mergeCell ref="G3:G4"/>
    <mergeCell ref="H3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Grafik Batang Omset</vt:lpstr>
      <vt:lpstr>Mortar M 36 Indoporlen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pt.gemateknikperkasa@outlook.com</cp:lastModifiedBy>
  <cp:lastPrinted>2025-12-08T03:11:34Z</cp:lastPrinted>
  <dcterms:created xsi:type="dcterms:W3CDTF">2012-01-02T08:17:00Z</dcterms:created>
  <dcterms:modified xsi:type="dcterms:W3CDTF">2025-12-08T03:13:24Z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C90AADB78C554B6E8D082576ACDDCDFB</vt:lpwstr>
  </property>
  <property fmtid="{D5CDD505-2E9C-101B-9397-08002B2CF9AE}" pid="3" name="KSOProductBuildVer">
    <vt:lpwstr>1033-11.2.0.10463</vt:lpwstr>
  </property>
</Properties>
</file>